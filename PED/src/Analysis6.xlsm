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3198\Desktop\PED\"/>
    </mc:Choice>
  </mc:AlternateContent>
  <xr:revisionPtr revIDLastSave="0" documentId="13_ncr:1_{FB350B16-D8E2-4399-922D-890AC5B3BD90}" xr6:coauthVersionLast="47" xr6:coauthVersionMax="47" xr10:uidLastSave="{00000000-0000-0000-0000-000000000000}"/>
  <bookViews>
    <workbookView xWindow="383" yWindow="345" windowWidth="14332" windowHeight="9547" activeTab="2" xr2:uid="{00000000-000D-0000-FFFF-FFFF00000000}"/>
  </bookViews>
  <sheets>
    <sheet name="Sheet1" sheetId="2" r:id="rId1"/>
    <sheet name="Sheet2" sheetId="4" r:id="rId2"/>
    <sheet name="Sheet2 (2)" sheetId="5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0" i="2" l="1"/>
  <c r="N15" i="2" l="1"/>
  <c r="N16" i="2"/>
  <c r="N17" i="2"/>
  <c r="N18" i="2"/>
  <c r="N19" i="2"/>
  <c r="C20" i="2"/>
  <c r="N21" i="2"/>
  <c r="N22" i="2"/>
  <c r="N23" i="2"/>
  <c r="N24" i="2"/>
  <c r="N26" i="2"/>
  <c r="N27" i="2"/>
  <c r="N28" i="2"/>
  <c r="N29" i="2"/>
  <c r="N30" i="2"/>
  <c r="N31" i="2"/>
  <c r="N32" i="2"/>
  <c r="N33" i="2"/>
  <c r="N34" i="2"/>
  <c r="N35" i="2"/>
  <c r="N37" i="2"/>
  <c r="N38" i="2"/>
  <c r="N39" i="2"/>
  <c r="N40" i="2"/>
  <c r="N41" i="2"/>
  <c r="N42" i="2"/>
  <c r="N43" i="2"/>
  <c r="N44" i="2"/>
  <c r="N45" i="2"/>
  <c r="N46" i="2"/>
  <c r="N48" i="2"/>
  <c r="N49" i="2"/>
  <c r="N50" i="2"/>
  <c r="N51" i="2"/>
  <c r="N52" i="2"/>
  <c r="N53" i="2"/>
  <c r="B54" i="2"/>
  <c r="C54" i="2" l="1"/>
  <c r="D54" i="2" l="1"/>
  <c r="E20" i="2"/>
  <c r="E54" i="2" l="1"/>
  <c r="F20" i="2"/>
  <c r="F54" i="2" l="1"/>
  <c r="G20" i="2"/>
  <c r="G54" i="2" l="1"/>
  <c r="H54" i="2" l="1"/>
  <c r="I54" i="2" l="1"/>
  <c r="J20" i="2"/>
  <c r="J54" i="2" l="1"/>
  <c r="K54" i="2" l="1"/>
  <c r="L20" i="2"/>
  <c r="L54" i="2" l="1"/>
  <c r="M20" i="2"/>
  <c r="M54" i="2" l="1"/>
  <c r="N54" i="2" s="1"/>
  <c r="N20" i="2"/>
</calcChain>
</file>

<file path=xl/sharedStrings.xml><?xml version="1.0" encoding="utf-8"?>
<sst xmlns="http://schemas.openxmlformats.org/spreadsheetml/2006/main" count="71" uniqueCount="63">
  <si>
    <t>Product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</si>
  <si>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</si>
  <si>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</si>
  <si>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</si>
  <si>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</si>
  <si>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</si>
  <si>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</si>
  <si>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</si>
  <si>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</si>
  <si>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</si>
  <si>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</si>
  <si>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</si>
  <si>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</si>
  <si>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</t>
  </si>
  <si>
    <t>Item1</t>
  </si>
  <si>
    <t>Item2</t>
  </si>
  <si>
    <t>Item3</t>
  </si>
  <si>
    <t>Item5</t>
  </si>
  <si>
    <t>Item6</t>
  </si>
  <si>
    <t>Item7</t>
  </si>
  <si>
    <t>Item8</t>
  </si>
  <si>
    <t>Item9</t>
  </si>
  <si>
    <t>Item10</t>
  </si>
  <si>
    <t>Item11</t>
  </si>
  <si>
    <t>Item12</t>
  </si>
  <si>
    <t>Item13</t>
  </si>
  <si>
    <t>Item14</t>
  </si>
  <si>
    <t>Item15</t>
  </si>
  <si>
    <t>Item16</t>
  </si>
  <si>
    <t>Item17</t>
  </si>
  <si>
    <t>Item18</t>
  </si>
  <si>
    <t>Item19</t>
  </si>
  <si>
    <t>Item20</t>
  </si>
  <si>
    <t>Item21</t>
  </si>
  <si>
    <t>Item22</t>
  </si>
  <si>
    <t>Item23</t>
  </si>
  <si>
    <t>Item24</t>
  </si>
  <si>
    <t>Item25</t>
  </si>
  <si>
    <t>Item26</t>
  </si>
  <si>
    <t>Item27</t>
  </si>
  <si>
    <t>Item28</t>
  </si>
  <si>
    <t>Item29</t>
  </si>
  <si>
    <t>Item30</t>
  </si>
  <si>
    <t>Item31</t>
  </si>
  <si>
    <t>Item32</t>
  </si>
  <si>
    <t>Item33</t>
  </si>
  <si>
    <t>Item34</t>
  </si>
  <si>
    <t>Item35</t>
  </si>
  <si>
    <t>Item36</t>
  </si>
  <si>
    <t>2) Double-click a cell to highlight all cells of the same type.</t>
  </si>
  <si>
    <t>3) Right-click a highlighted area to remove the highlight.</t>
  </si>
  <si>
    <t>1) Click the Analyse Cells button to analyse the contents of the worksheet.</t>
  </si>
  <si>
    <t>Item4</t>
    <phoneticPr fontId="0" type="noConversion"/>
  </si>
  <si>
    <t>Ccells</t>
    <phoneticPr fontId="4" type="noConversion"/>
  </si>
  <si>
    <r>
      <t xml:space="preserve">Ccell </t>
    </r>
    <r>
      <rPr>
        <sz val="14"/>
        <color theme="7"/>
        <rFont val="Arial"/>
        <family val="2"/>
      </rPr>
      <t>Highlight and Unhight adding</t>
    </r>
    <phoneticPr fontId="4" type="noConversion"/>
  </si>
  <si>
    <t>Analyze</t>
  </si>
  <si>
    <t>mrngCell</t>
  </si>
  <si>
    <t>DescriptiveCellType</t>
  </si>
  <si>
    <t>muCellType</t>
  </si>
  <si>
    <t>CellType</t>
  </si>
  <si>
    <t>Cell</t>
  </si>
  <si>
    <t>cTypeTrigger</t>
    <phoneticPr fontId="4" type="noConversion"/>
  </si>
  <si>
    <r>
      <t xml:space="preserve">Ccell </t>
    </r>
    <r>
      <rPr>
        <sz val="14"/>
        <color theme="7"/>
        <rFont val="Arial"/>
        <family val="2"/>
      </rPr>
      <t>.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</si>
</sst>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  <font>
      <sz val="9"/>
      <name val="宋体"/>
      <family val="3"/>
      <charset val="134"/>
    </font>
    <font>
      <b/>
      <sz val="14"/>
      <name val="Arial"/>
      <family val="2"/>
    </font>
    <font>
      <sz val="14"/>
      <color theme="7"/>
      <name val="Arial"/>
      <family val="2"/>
    </font>
    <font>
      <b/>
      <sz val="10"/>
      <color theme="7"/>
      <name val="Arial"/>
      <family val="2"/>
    </font>
    <font>
      <b/>
      <sz val="10"/>
      <color theme="9"/>
      <name val="Arial"/>
      <family val="2"/>
    </font>
    <font>
      <b/>
      <sz val="10"/>
      <color theme="8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1"/>
    <xf numFmtId="0" fontId="2" fillId="0" borderId="1" xfId="1" applyBorder="1"/>
    <xf numFmtId="0" fontId="2" fillId="0" borderId="2" xfId="1" applyBorder="1"/>
    <xf numFmtId="0" fontId="5" fillId="0" borderId="3" xfId="1" applyFont="1" applyBorder="1"/>
    <xf numFmtId="0" fontId="2" fillId="0" borderId="4" xfId="1" applyBorder="1"/>
    <xf numFmtId="0" fontId="2" fillId="0" borderId="5" xfId="1" applyBorder="1"/>
    <xf numFmtId="0" fontId="2" fillId="0" borderId="6" xfId="1" applyBorder="1"/>
    <xf numFmtId="0" fontId="2" fillId="0" borderId="7" xfId="1" applyBorder="1"/>
    <xf numFmtId="0" fontId="2" fillId="0" borderId="8" xfId="1" applyBorder="1"/>
    <xf numFmtId="0" fontId="1" fillId="0" borderId="1" xfId="1" applyFont="1" applyBorder="1"/>
    <xf numFmtId="0" fontId="1" fillId="0" borderId="2" xfId="1" applyFont="1" applyBorder="1"/>
    <xf numFmtId="0" fontId="1" fillId="0" borderId="4" xfId="1" applyFont="1" applyBorder="1"/>
    <xf numFmtId="0" fontId="1" fillId="0" borderId="0" xfId="1" applyFont="1"/>
    <xf numFmtId="0" fontId="1" fillId="0" borderId="5" xfId="1" applyFont="1" applyBorder="1"/>
    <xf numFmtId="0" fontId="7" fillId="0" borderId="0" xfId="1" applyFont="1"/>
    <xf numFmtId="0" fontId="8" fillId="0" borderId="0" xfId="1" applyFont="1"/>
    <xf numFmtId="0" fontId="9" fillId="0" borderId="0" xfId="1" applyFont="1"/>
    <xf numFmtId="0" fontId="1" fillId="0" borderId="6" xfId="1" applyFont="1" applyBorder="1"/>
    <xf numFmtId="0" fontId="1" fillId="0" borderId="7" xfId="1" applyFont="1" applyBorder="1"/>
    <xf numFmtId="0" fontId="1" fillId="0" borderId="8" xfId="1" applyFont="1" applyBorder="1"/>
    <xf numFmtId="0" fontId="2" fillId="0" borderId="3" xfId="1" applyBorder="1"/>
    <xf numFmtId="0" fontId="0" fillId="0" borderId="0" xfId="0" applyFill="1"/>
    <xf numFmtId="0" fontId="2" fillId="0" borderId="0" xfId="1" applyBorder="1"/>
    <xf numFmtId="0" fontId="1" fillId="0" borderId="3" xfId="1" applyFont="1" applyBorder="1"/>
  </cellXfs>
  <cellStyles count="2">
    <cellStyle name="Normal" xfId="0" builtinId="0"/>
    <cellStyle name="Normal 2" xfId="1" xr:uid="{900F4778-25DF-4915-973D-6091B4EB62D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8.png"/><Relationship Id="rId18" Type="http://schemas.openxmlformats.org/officeDocument/2006/relationships/image" Target="../media/image29.png"/><Relationship Id="rId26" Type="http://schemas.openxmlformats.org/officeDocument/2006/relationships/image" Target="../media/image35.png"/><Relationship Id="rId39" Type="http://schemas.openxmlformats.org/officeDocument/2006/relationships/image" Target="../media/image51.png"/><Relationship Id="rId3" Type="http://schemas.openxmlformats.org/officeDocument/2006/relationships/image" Target="../media/image3.png"/><Relationship Id="rId21" Type="http://schemas.openxmlformats.org/officeDocument/2006/relationships/image" Target="../media/image33.png"/><Relationship Id="rId34" Type="http://schemas.openxmlformats.org/officeDocument/2006/relationships/image" Target="../media/image46.png"/><Relationship Id="rId42" Type="http://schemas.openxmlformats.org/officeDocument/2006/relationships/image" Target="../media/image54.png"/><Relationship Id="rId47" Type="http://schemas.openxmlformats.org/officeDocument/2006/relationships/image" Target="../media/image59.png"/><Relationship Id="rId50" Type="http://schemas.openxmlformats.org/officeDocument/2006/relationships/image" Target="../media/image62.png"/><Relationship Id="rId7" Type="http://schemas.openxmlformats.org/officeDocument/2006/relationships/image" Target="../media/image7.png"/><Relationship Id="rId12" Type="http://schemas.openxmlformats.org/officeDocument/2006/relationships/image" Target="../media/image17.png"/><Relationship Id="rId17" Type="http://schemas.openxmlformats.org/officeDocument/2006/relationships/image" Target="../media/image25.png"/><Relationship Id="rId25" Type="http://schemas.openxmlformats.org/officeDocument/2006/relationships/image" Target="../media/image34.png"/><Relationship Id="rId33" Type="http://schemas.openxmlformats.org/officeDocument/2006/relationships/image" Target="../media/image45.png"/><Relationship Id="rId38" Type="http://schemas.openxmlformats.org/officeDocument/2006/relationships/image" Target="../media/image50.png"/><Relationship Id="rId46" Type="http://schemas.openxmlformats.org/officeDocument/2006/relationships/image" Target="../media/image58.png"/><Relationship Id="rId2" Type="http://schemas.openxmlformats.org/officeDocument/2006/relationships/image" Target="../media/image2.png"/><Relationship Id="rId16" Type="http://schemas.openxmlformats.org/officeDocument/2006/relationships/image" Target="../media/image24.png"/><Relationship Id="rId20" Type="http://schemas.openxmlformats.org/officeDocument/2006/relationships/image" Target="../media/image32.png"/><Relationship Id="rId29" Type="http://schemas.openxmlformats.org/officeDocument/2006/relationships/image" Target="../media/image41.png"/><Relationship Id="rId41" Type="http://schemas.openxmlformats.org/officeDocument/2006/relationships/image" Target="../media/image5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3.png"/><Relationship Id="rId24" Type="http://schemas.openxmlformats.org/officeDocument/2006/relationships/image" Target="../media/image39.png"/><Relationship Id="rId32" Type="http://schemas.openxmlformats.org/officeDocument/2006/relationships/image" Target="../media/image44.png"/><Relationship Id="rId37" Type="http://schemas.openxmlformats.org/officeDocument/2006/relationships/image" Target="../media/image49.png"/><Relationship Id="rId40" Type="http://schemas.openxmlformats.org/officeDocument/2006/relationships/image" Target="../media/image52.png"/><Relationship Id="rId45" Type="http://schemas.openxmlformats.org/officeDocument/2006/relationships/image" Target="../media/image57.png"/><Relationship Id="rId5" Type="http://schemas.openxmlformats.org/officeDocument/2006/relationships/image" Target="../media/image5.png"/><Relationship Id="rId15" Type="http://schemas.openxmlformats.org/officeDocument/2006/relationships/image" Target="../media/image22.png"/><Relationship Id="rId23" Type="http://schemas.openxmlformats.org/officeDocument/2006/relationships/image" Target="../media/image38.png"/><Relationship Id="rId28" Type="http://schemas.openxmlformats.org/officeDocument/2006/relationships/image" Target="../media/image40.png"/><Relationship Id="rId36" Type="http://schemas.openxmlformats.org/officeDocument/2006/relationships/image" Target="../media/image48.png"/><Relationship Id="rId49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31.png"/><Relationship Id="rId31" Type="http://schemas.openxmlformats.org/officeDocument/2006/relationships/image" Target="../media/image43.png"/><Relationship Id="rId44" Type="http://schemas.openxmlformats.org/officeDocument/2006/relationships/image" Target="../media/image56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9.png"/><Relationship Id="rId22" Type="http://schemas.openxmlformats.org/officeDocument/2006/relationships/image" Target="../media/image37.png"/><Relationship Id="rId27" Type="http://schemas.openxmlformats.org/officeDocument/2006/relationships/image" Target="../media/image36.png"/><Relationship Id="rId30" Type="http://schemas.openxmlformats.org/officeDocument/2006/relationships/image" Target="../media/image42.png"/><Relationship Id="rId35" Type="http://schemas.openxmlformats.org/officeDocument/2006/relationships/image" Target="../media/image47.png"/><Relationship Id="rId43" Type="http://schemas.openxmlformats.org/officeDocument/2006/relationships/image" Target="../media/image55.png"/><Relationship Id="rId48" Type="http://schemas.openxmlformats.org/officeDocument/2006/relationships/image" Target="../media/image60.png"/><Relationship Id="rId8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152400</xdr:rowOff>
        </xdr:from>
        <xdr:to>
          <xdr:col>3</xdr:col>
          <xdr:colOff>190500</xdr:colOff>
          <xdr:row>4</xdr:row>
          <xdr:rowOff>119063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Analyse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</xdr:colOff>
      <xdr:row>44</xdr:row>
      <xdr:rowOff>39696</xdr:rowOff>
    </xdr:from>
    <xdr:ext cx="2230438" cy="197688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8297" y="7278696"/>
          <a:ext cx="2230438" cy="197688"/>
        </a:xfrm>
        <a:prstGeom prst="rect">
          <a:avLst/>
        </a:prstGeom>
      </xdr:spPr>
    </xdr:pic>
    <xdr:clientData/>
  </xdr:oneCellAnchor>
  <xdr:oneCellAnchor>
    <xdr:from>
      <xdr:col>3</xdr:col>
      <xdr:colOff>0</xdr:colOff>
      <xdr:row>47</xdr:row>
      <xdr:rowOff>23820</xdr:rowOff>
    </xdr:from>
    <xdr:ext cx="2481635" cy="190499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48296" y="7756389"/>
          <a:ext cx="2481635" cy="190499"/>
        </a:xfrm>
        <a:prstGeom prst="rect">
          <a:avLst/>
        </a:prstGeom>
      </xdr:spPr>
    </xdr:pic>
    <xdr:clientData/>
  </xdr:oneCellAnchor>
  <xdr:oneCellAnchor>
    <xdr:from>
      <xdr:col>12</xdr:col>
      <xdr:colOff>508001</xdr:colOff>
      <xdr:row>29</xdr:row>
      <xdr:rowOff>166686</xdr:rowOff>
    </xdr:from>
    <xdr:ext cx="3377266" cy="2479113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280401" y="4857748"/>
          <a:ext cx="3377266" cy="2479113"/>
        </a:xfrm>
        <a:prstGeom prst="rect">
          <a:avLst/>
        </a:prstGeom>
      </xdr:spPr>
    </xdr:pic>
    <xdr:clientData/>
  </xdr:oneCellAnchor>
  <xdr:oneCellAnchor>
    <xdr:from>
      <xdr:col>9</xdr:col>
      <xdr:colOff>19642</xdr:colOff>
      <xdr:row>41</xdr:row>
      <xdr:rowOff>23813</xdr:rowOff>
    </xdr:from>
    <xdr:ext cx="1770064" cy="1254126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942" y="6662738"/>
          <a:ext cx="1770064" cy="1254126"/>
        </a:xfrm>
        <a:prstGeom prst="rect">
          <a:avLst/>
        </a:prstGeom>
      </xdr:spPr>
    </xdr:pic>
    <xdr:clientData/>
  </xdr:oneCellAnchor>
  <xdr:oneCellAnchor>
    <xdr:from>
      <xdr:col>7</xdr:col>
      <xdr:colOff>420687</xdr:colOff>
      <xdr:row>33</xdr:row>
      <xdr:rowOff>79376</xdr:rowOff>
    </xdr:from>
    <xdr:ext cx="2642644" cy="452437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4587" y="5422901"/>
          <a:ext cx="2642644" cy="452437"/>
        </a:xfrm>
        <a:prstGeom prst="rect">
          <a:avLst/>
        </a:prstGeom>
      </xdr:spPr>
    </xdr:pic>
    <xdr:clientData/>
  </xdr:oneCellAnchor>
  <xdr:oneCellAnchor>
    <xdr:from>
      <xdr:col>6</xdr:col>
      <xdr:colOff>451325</xdr:colOff>
      <xdr:row>30</xdr:row>
      <xdr:rowOff>23813</xdr:rowOff>
    </xdr:from>
    <xdr:ext cx="3534052" cy="428523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337525" y="4881563"/>
          <a:ext cx="3534052" cy="428523"/>
        </a:xfrm>
        <a:prstGeom prst="rect">
          <a:avLst/>
        </a:prstGeom>
      </xdr:spPr>
    </xdr:pic>
    <xdr:clientData/>
  </xdr:oneCellAnchor>
  <xdr:oneCellAnchor>
    <xdr:from>
      <xdr:col>7</xdr:col>
      <xdr:colOff>611189</xdr:colOff>
      <xdr:row>37</xdr:row>
      <xdr:rowOff>103188</xdr:rowOff>
    </xdr:from>
    <xdr:ext cx="2984500" cy="410947"/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145089" y="6094413"/>
          <a:ext cx="2984500" cy="410947"/>
        </a:xfrm>
        <a:prstGeom prst="rect">
          <a:avLst/>
        </a:prstGeom>
      </xdr:spPr>
    </xdr:pic>
    <xdr:clientData/>
  </xdr:oneCellAnchor>
  <xdr:twoCellAnchor>
    <xdr:from>
      <xdr:col>7</xdr:col>
      <xdr:colOff>230188</xdr:colOff>
      <xdr:row>31</xdr:row>
      <xdr:rowOff>23813</xdr:rowOff>
    </xdr:from>
    <xdr:to>
      <xdr:col>7</xdr:col>
      <xdr:colOff>642937</xdr:colOff>
      <xdr:row>34</xdr:row>
      <xdr:rowOff>103187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 flipV="1">
          <a:off x="4764088" y="5043488"/>
          <a:ext cx="412749" cy="565149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293688</xdr:colOff>
      <xdr:row>34</xdr:row>
      <xdr:rowOff>79375</xdr:rowOff>
    </xdr:from>
    <xdr:to>
      <xdr:col>7</xdr:col>
      <xdr:colOff>611186</xdr:colOff>
      <xdr:row>35</xdr:row>
      <xdr:rowOff>23813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 flipV="1">
          <a:off x="4827588" y="5584825"/>
          <a:ext cx="317498" cy="106363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198438</xdr:colOff>
      <xdr:row>38</xdr:row>
      <xdr:rowOff>55562</xdr:rowOff>
    </xdr:from>
    <xdr:to>
      <xdr:col>9</xdr:col>
      <xdr:colOff>39688</xdr:colOff>
      <xdr:row>38</xdr:row>
      <xdr:rowOff>134937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 flipV="1">
          <a:off x="4732338" y="6208712"/>
          <a:ext cx="1136650" cy="79375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515938</xdr:colOff>
      <xdr:row>44</xdr:row>
      <xdr:rowOff>79375</xdr:rowOff>
    </xdr:from>
    <xdr:to>
      <xdr:col>15</xdr:col>
      <xdr:colOff>357187</xdr:colOff>
      <xdr:row>46</xdr:row>
      <xdr:rowOff>79375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 flipV="1">
          <a:off x="9583738" y="7204075"/>
          <a:ext cx="488949" cy="32385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oneCellAnchor>
    <xdr:from>
      <xdr:col>13</xdr:col>
      <xdr:colOff>150814</xdr:colOff>
      <xdr:row>45</xdr:row>
      <xdr:rowOff>127001</xdr:rowOff>
    </xdr:from>
    <xdr:ext cx="2944811" cy="376404"/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570914" y="7413626"/>
          <a:ext cx="2944811" cy="376404"/>
        </a:xfrm>
        <a:prstGeom prst="rect">
          <a:avLst/>
        </a:prstGeom>
      </xdr:spPr>
    </xdr:pic>
    <xdr:clientData/>
  </xdr:oneCellAnchor>
  <xdr:oneCellAnchor>
    <xdr:from>
      <xdr:col>14</xdr:col>
      <xdr:colOff>484188</xdr:colOff>
      <xdr:row>48</xdr:row>
      <xdr:rowOff>103188</xdr:rowOff>
    </xdr:from>
    <xdr:ext cx="2058930" cy="428625"/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551988" y="7875588"/>
          <a:ext cx="2058930" cy="428625"/>
        </a:xfrm>
        <a:prstGeom prst="rect">
          <a:avLst/>
        </a:prstGeom>
      </xdr:spPr>
    </xdr:pic>
    <xdr:clientData/>
  </xdr:oneCellAnchor>
  <xdr:oneCellAnchor>
    <xdr:from>
      <xdr:col>3</xdr:col>
      <xdr:colOff>39688</xdr:colOff>
      <xdr:row>56</xdr:row>
      <xdr:rowOff>31750</xdr:rowOff>
    </xdr:from>
    <xdr:ext cx="3714750" cy="329851"/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982788" y="9099550"/>
          <a:ext cx="3714750" cy="329851"/>
        </a:xfrm>
        <a:prstGeom prst="rect">
          <a:avLst/>
        </a:prstGeom>
      </xdr:spPr>
    </xdr:pic>
    <xdr:clientData/>
  </xdr:oneCellAnchor>
  <xdr:oneCellAnchor>
    <xdr:from>
      <xdr:col>3</xdr:col>
      <xdr:colOff>39688</xdr:colOff>
      <xdr:row>59</xdr:row>
      <xdr:rowOff>142874</xdr:rowOff>
    </xdr:from>
    <xdr:ext cx="2524125" cy="436545"/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982788" y="9696449"/>
          <a:ext cx="2524125" cy="436545"/>
        </a:xfrm>
        <a:prstGeom prst="rect">
          <a:avLst/>
        </a:prstGeom>
      </xdr:spPr>
    </xdr:pic>
    <xdr:clientData/>
  </xdr:oneCellAnchor>
  <xdr:oneCellAnchor>
    <xdr:from>
      <xdr:col>3</xdr:col>
      <xdr:colOff>31750</xdr:colOff>
      <xdr:row>64</xdr:row>
      <xdr:rowOff>15875</xdr:rowOff>
    </xdr:from>
    <xdr:ext cx="4132974" cy="420688"/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974850" y="10379075"/>
          <a:ext cx="4132974" cy="420688"/>
        </a:xfrm>
        <a:prstGeom prst="rect">
          <a:avLst/>
        </a:prstGeom>
      </xdr:spPr>
    </xdr:pic>
    <xdr:clientData/>
  </xdr:oneCellAnchor>
  <xdr:oneCellAnchor>
    <xdr:from>
      <xdr:col>8</xdr:col>
      <xdr:colOff>158752</xdr:colOff>
      <xdr:row>59</xdr:row>
      <xdr:rowOff>71439</xdr:rowOff>
    </xdr:from>
    <xdr:ext cx="3284979" cy="984248"/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365752" y="9683752"/>
          <a:ext cx="3284979" cy="984248"/>
        </a:xfrm>
        <a:prstGeom prst="rect">
          <a:avLst/>
        </a:prstGeom>
      </xdr:spPr>
    </xdr:pic>
    <xdr:clientData/>
  </xdr:oneCellAnchor>
  <xdr:oneCellAnchor>
    <xdr:from>
      <xdr:col>13</xdr:col>
      <xdr:colOff>238125</xdr:colOff>
      <xdr:row>64</xdr:row>
      <xdr:rowOff>103187</xdr:rowOff>
    </xdr:from>
    <xdr:ext cx="3016251" cy="1047469"/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658225" y="10466387"/>
          <a:ext cx="3016251" cy="1047469"/>
        </a:xfrm>
        <a:prstGeom prst="rect">
          <a:avLst/>
        </a:prstGeom>
      </xdr:spPr>
    </xdr:pic>
    <xdr:clientData/>
  </xdr:oneCellAnchor>
  <xdr:oneCellAnchor>
    <xdr:from>
      <xdr:col>13</xdr:col>
      <xdr:colOff>182562</xdr:colOff>
      <xdr:row>56</xdr:row>
      <xdr:rowOff>63502</xdr:rowOff>
    </xdr:from>
    <xdr:ext cx="3051904" cy="984248"/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8602662" y="9131302"/>
          <a:ext cx="3051904" cy="984248"/>
        </a:xfrm>
        <a:prstGeom prst="rect">
          <a:avLst/>
        </a:prstGeom>
      </xdr:spPr>
    </xdr:pic>
    <xdr:clientData/>
  </xdr:oneCellAnchor>
  <xdr:oneCellAnchor>
    <xdr:from>
      <xdr:col>5</xdr:col>
      <xdr:colOff>269875</xdr:colOff>
      <xdr:row>67</xdr:row>
      <xdr:rowOff>79375</xdr:rowOff>
    </xdr:from>
    <xdr:ext cx="2884835" cy="642938"/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508375" y="10928350"/>
          <a:ext cx="2884835" cy="642938"/>
        </a:xfrm>
        <a:prstGeom prst="rect">
          <a:avLst/>
        </a:prstGeom>
      </xdr:spPr>
    </xdr:pic>
    <xdr:clientData/>
  </xdr:oneCellAnchor>
  <xdr:twoCellAnchor editAs="oneCell">
    <xdr:from>
      <xdr:col>6</xdr:col>
      <xdr:colOff>341312</xdr:colOff>
      <xdr:row>3</xdr:row>
      <xdr:rowOff>0</xdr:rowOff>
    </xdr:from>
    <xdr:to>
      <xdr:col>16</xdr:col>
      <xdr:colOff>250469</xdr:colOff>
      <xdr:row>25</xdr:row>
      <xdr:rowOff>15875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4246562" y="476250"/>
          <a:ext cx="6417907" cy="35083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</xdr:row>
      <xdr:rowOff>95250</xdr:rowOff>
    </xdr:from>
    <xdr:to>
      <xdr:col>7</xdr:col>
      <xdr:colOff>242852</xdr:colOff>
      <xdr:row>21</xdr:row>
      <xdr:rowOff>95250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952625" y="1365250"/>
          <a:ext cx="2846352" cy="206375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635000</xdr:colOff>
      <xdr:row>11</xdr:row>
      <xdr:rowOff>47626</xdr:rowOff>
    </xdr:from>
    <xdr:to>
      <xdr:col>13</xdr:col>
      <xdr:colOff>31750</xdr:colOff>
      <xdr:row>12</xdr:row>
      <xdr:rowOff>37101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5842000" y="1793876"/>
          <a:ext cx="2651125" cy="148225"/>
        </a:xfrm>
        <a:prstGeom prst="rect">
          <a:avLst/>
        </a:prstGeom>
      </xdr:spPr>
    </xdr:pic>
    <xdr:clientData/>
  </xdr:twoCellAnchor>
  <xdr:twoCellAnchor>
    <xdr:from>
      <xdr:col>3</xdr:col>
      <xdr:colOff>508000</xdr:colOff>
      <xdr:row>11</xdr:row>
      <xdr:rowOff>111125</xdr:rowOff>
    </xdr:from>
    <xdr:to>
      <xdr:col>8</xdr:col>
      <xdr:colOff>571500</xdr:colOff>
      <xdr:row>11</xdr:row>
      <xdr:rowOff>119063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 flipH="1" flipV="1">
          <a:off x="2460625" y="1857375"/>
          <a:ext cx="3317875" cy="7938"/>
        </a:xfrm>
        <a:prstGeom prst="straightConnector1">
          <a:avLst/>
        </a:prstGeom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0</xdr:colOff>
      <xdr:row>72</xdr:row>
      <xdr:rowOff>60616</xdr:rowOff>
    </xdr:from>
    <xdr:to>
      <xdr:col>9</xdr:col>
      <xdr:colOff>635000</xdr:colOff>
      <xdr:row>73</xdr:row>
      <xdr:rowOff>147240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948296" y="12027480"/>
          <a:ext cx="4531591" cy="251147"/>
        </a:xfrm>
        <a:prstGeom prst="rect">
          <a:avLst/>
        </a:prstGeom>
      </xdr:spPr>
    </xdr:pic>
    <xdr:clientData/>
  </xdr:twoCellAnchor>
  <xdr:twoCellAnchor editAs="oneCell">
    <xdr:from>
      <xdr:col>3</xdr:col>
      <xdr:colOff>23815</xdr:colOff>
      <xdr:row>75</xdr:row>
      <xdr:rowOff>126277</xdr:rowOff>
    </xdr:from>
    <xdr:to>
      <xdr:col>9</xdr:col>
      <xdr:colOff>645031</xdr:colOff>
      <xdr:row>78</xdr:row>
      <xdr:rowOff>57004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972111" y="12586710"/>
          <a:ext cx="4517807" cy="424294"/>
        </a:xfrm>
        <a:prstGeom prst="rect">
          <a:avLst/>
        </a:prstGeom>
      </xdr:spPr>
    </xdr:pic>
    <xdr:clientData/>
  </xdr:twoCellAnchor>
  <xdr:twoCellAnchor editAs="oneCell">
    <xdr:from>
      <xdr:col>3</xdr:col>
      <xdr:colOff>15877</xdr:colOff>
      <xdr:row>78</xdr:row>
      <xdr:rowOff>81826</xdr:rowOff>
    </xdr:from>
    <xdr:to>
      <xdr:col>10</xdr:col>
      <xdr:colOff>103189</xdr:colOff>
      <xdr:row>79</xdr:row>
      <xdr:rowOff>118864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964173" y="13035826"/>
          <a:ext cx="4633334" cy="201562"/>
        </a:xfrm>
        <a:prstGeom prst="rect">
          <a:avLst/>
        </a:prstGeom>
      </xdr:spPr>
    </xdr:pic>
    <xdr:clientData/>
  </xdr:twoCellAnchor>
  <xdr:twoCellAnchor editAs="oneCell">
    <xdr:from>
      <xdr:col>10</xdr:col>
      <xdr:colOff>635001</xdr:colOff>
      <xdr:row>67</xdr:row>
      <xdr:rowOff>134937</xdr:rowOff>
    </xdr:from>
    <xdr:to>
      <xdr:col>17</xdr:col>
      <xdr:colOff>579439</xdr:colOff>
      <xdr:row>73</xdr:row>
      <xdr:rowOff>116819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143751" y="11017250"/>
          <a:ext cx="4500563" cy="1013757"/>
        </a:xfrm>
        <a:prstGeom prst="rect">
          <a:avLst/>
        </a:prstGeom>
      </xdr:spPr>
    </xdr:pic>
    <xdr:clientData/>
  </xdr:twoCellAnchor>
  <xdr:twoCellAnchor editAs="oneCell">
    <xdr:from>
      <xdr:col>3</xdr:col>
      <xdr:colOff>15876</xdr:colOff>
      <xdr:row>80</xdr:row>
      <xdr:rowOff>7216</xdr:rowOff>
    </xdr:from>
    <xdr:to>
      <xdr:col>10</xdr:col>
      <xdr:colOff>214313</xdr:colOff>
      <xdr:row>81</xdr:row>
      <xdr:rowOff>107303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964172" y="13290261"/>
          <a:ext cx="4744459" cy="264611"/>
        </a:xfrm>
        <a:prstGeom prst="rect">
          <a:avLst/>
        </a:prstGeom>
      </xdr:spPr>
    </xdr:pic>
    <xdr:clientData/>
  </xdr:twoCellAnchor>
  <xdr:twoCellAnchor editAs="oneCell">
    <xdr:from>
      <xdr:col>3</xdr:col>
      <xdr:colOff>63497</xdr:colOff>
      <xdr:row>82</xdr:row>
      <xdr:rowOff>23813</xdr:rowOff>
    </xdr:from>
    <xdr:to>
      <xdr:col>9</xdr:col>
      <xdr:colOff>283748</xdr:colOff>
      <xdr:row>83</xdr:row>
      <xdr:rowOff>114554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016122" y="13358813"/>
          <a:ext cx="4125501" cy="249491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69</xdr:row>
      <xdr:rowOff>129886</xdr:rowOff>
    </xdr:from>
    <xdr:to>
      <xdr:col>11</xdr:col>
      <xdr:colOff>588817</xdr:colOff>
      <xdr:row>77</xdr:row>
      <xdr:rowOff>23813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CxnSpPr/>
      </xdr:nvCxnSpPr>
      <xdr:spPr>
        <a:xfrm flipV="1">
          <a:off x="6589568" y="11542568"/>
          <a:ext cx="1143000" cy="1270723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oneCellAnchor>
    <xdr:from>
      <xdr:col>1</xdr:col>
      <xdr:colOff>349250</xdr:colOff>
      <xdr:row>54</xdr:row>
      <xdr:rowOff>111125</xdr:rowOff>
    </xdr:from>
    <xdr:ext cx="2137410" cy="1285875"/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00125" y="8921750"/>
          <a:ext cx="2137410" cy="1285875"/>
        </a:xfrm>
        <a:prstGeom prst="rect">
          <a:avLst/>
        </a:prstGeom>
      </xdr:spPr>
    </xdr:pic>
    <xdr:clientData/>
  </xdr:oneCellAnchor>
  <xdr:twoCellAnchor editAs="oneCell">
    <xdr:from>
      <xdr:col>1</xdr:col>
      <xdr:colOff>337701</xdr:colOff>
      <xdr:row>74</xdr:row>
      <xdr:rowOff>8659</xdr:rowOff>
    </xdr:from>
    <xdr:to>
      <xdr:col>9</xdr:col>
      <xdr:colOff>597475</xdr:colOff>
      <xdr:row>75</xdr:row>
      <xdr:rowOff>78999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87134" y="12304568"/>
          <a:ext cx="5455228" cy="234864"/>
        </a:xfrm>
        <a:prstGeom prst="rect">
          <a:avLst/>
        </a:prstGeom>
      </xdr:spPr>
    </xdr:pic>
    <xdr:clientData/>
  </xdr:twoCellAnchor>
  <xdr:twoCellAnchor editAs="oneCell">
    <xdr:from>
      <xdr:col>9</xdr:col>
      <xdr:colOff>181842</xdr:colOff>
      <xdr:row>55</xdr:row>
      <xdr:rowOff>3892</xdr:rowOff>
    </xdr:from>
    <xdr:to>
      <xdr:col>13</xdr:col>
      <xdr:colOff>398318</xdr:colOff>
      <xdr:row>56</xdr:row>
      <xdr:rowOff>99968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026729" y="9113256"/>
          <a:ext cx="2814204" cy="260599"/>
        </a:xfrm>
        <a:prstGeom prst="rect">
          <a:avLst/>
        </a:prstGeom>
      </xdr:spPr>
    </xdr:pic>
    <xdr:clientData/>
  </xdr:twoCellAnchor>
  <xdr:twoCellAnchor>
    <xdr:from>
      <xdr:col>11</xdr:col>
      <xdr:colOff>34635</xdr:colOff>
      <xdr:row>56</xdr:row>
      <xdr:rowOff>138545</xdr:rowOff>
    </xdr:from>
    <xdr:to>
      <xdr:col>11</xdr:col>
      <xdr:colOff>424294</xdr:colOff>
      <xdr:row>62</xdr:row>
      <xdr:rowOff>86590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CxnSpPr/>
      </xdr:nvCxnSpPr>
      <xdr:spPr>
        <a:xfrm flipH="1">
          <a:off x="7178386" y="9412432"/>
          <a:ext cx="389659" cy="93518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212593</xdr:colOff>
      <xdr:row>76</xdr:row>
      <xdr:rowOff>77933</xdr:rowOff>
    </xdr:from>
    <xdr:to>
      <xdr:col>18</xdr:col>
      <xdr:colOff>104350</xdr:colOff>
      <xdr:row>82</xdr:row>
      <xdr:rowOff>60614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7356344" y="12702888"/>
          <a:ext cx="4437779" cy="969817"/>
        </a:xfrm>
        <a:prstGeom prst="rect">
          <a:avLst/>
        </a:prstGeom>
      </xdr:spPr>
    </xdr:pic>
    <xdr:clientData/>
  </xdr:twoCellAnchor>
  <xdr:twoCellAnchor editAs="oneCell">
    <xdr:from>
      <xdr:col>1</xdr:col>
      <xdr:colOff>346360</xdr:colOff>
      <xdr:row>84</xdr:row>
      <xdr:rowOff>147205</xdr:rowOff>
    </xdr:from>
    <xdr:to>
      <xdr:col>10</xdr:col>
      <xdr:colOff>130423</xdr:colOff>
      <xdr:row>86</xdr:row>
      <xdr:rowOff>70956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995793" y="14088341"/>
          <a:ext cx="5628948" cy="252797"/>
        </a:xfrm>
        <a:prstGeom prst="rect">
          <a:avLst/>
        </a:prstGeom>
      </xdr:spPr>
    </xdr:pic>
    <xdr:clientData/>
  </xdr:twoCellAnchor>
  <xdr:twoCellAnchor>
    <xdr:from>
      <xdr:col>13</xdr:col>
      <xdr:colOff>86589</xdr:colOff>
      <xdr:row>70</xdr:row>
      <xdr:rowOff>112567</xdr:rowOff>
    </xdr:from>
    <xdr:to>
      <xdr:col>14</xdr:col>
      <xdr:colOff>147205</xdr:colOff>
      <xdr:row>76</xdr:row>
      <xdr:rowOff>17318</xdr:rowOff>
    </xdr:to>
    <xdr:cxnSp macro="">
      <xdr:nvCxnSpPr>
        <xdr:cNvPr id="58" name="Straight Arrow Connector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CxnSpPr/>
      </xdr:nvCxnSpPr>
      <xdr:spPr>
        <a:xfrm>
          <a:off x="8529204" y="11689772"/>
          <a:ext cx="710046" cy="95250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303068</xdr:colOff>
      <xdr:row>81</xdr:row>
      <xdr:rowOff>51954</xdr:rowOff>
    </xdr:from>
    <xdr:to>
      <xdr:col>3</xdr:col>
      <xdr:colOff>380999</xdr:colOff>
      <xdr:row>83</xdr:row>
      <xdr:rowOff>155862</xdr:rowOff>
    </xdr:to>
    <xdr:cxnSp macro="">
      <xdr:nvCxnSpPr>
        <xdr:cNvPr id="61" name="Straight Arrow Connector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/>
      </xdr:nvCxnSpPr>
      <xdr:spPr>
        <a:xfrm flipV="1">
          <a:off x="1601932" y="13499523"/>
          <a:ext cx="727363" cy="43295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303067</xdr:colOff>
      <xdr:row>31</xdr:row>
      <xdr:rowOff>69273</xdr:rowOff>
    </xdr:from>
    <xdr:to>
      <xdr:col>5</xdr:col>
      <xdr:colOff>205362</xdr:colOff>
      <xdr:row>32</xdr:row>
      <xdr:rowOff>44555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952500" y="5169478"/>
          <a:ext cx="2500022" cy="139804"/>
        </a:xfrm>
        <a:prstGeom prst="rect">
          <a:avLst/>
        </a:prstGeom>
      </xdr:spPr>
    </xdr:pic>
    <xdr:clientData/>
  </xdr:twoCellAnchor>
  <xdr:twoCellAnchor editAs="oneCell">
    <xdr:from>
      <xdr:col>1</xdr:col>
      <xdr:colOff>147204</xdr:colOff>
      <xdr:row>39</xdr:row>
      <xdr:rowOff>138544</xdr:rowOff>
    </xdr:from>
    <xdr:to>
      <xdr:col>4</xdr:col>
      <xdr:colOff>546468</xdr:colOff>
      <xdr:row>42</xdr:row>
      <xdr:rowOff>52784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6637" y="6554931"/>
          <a:ext cx="2347558" cy="407808"/>
        </a:xfrm>
        <a:prstGeom prst="rect">
          <a:avLst/>
        </a:prstGeom>
      </xdr:spPr>
    </xdr:pic>
    <xdr:clientData/>
  </xdr:twoCellAnchor>
  <xdr:twoCellAnchor editAs="oneCell">
    <xdr:from>
      <xdr:col>1</xdr:col>
      <xdr:colOff>268431</xdr:colOff>
      <xdr:row>33</xdr:row>
      <xdr:rowOff>8658</xdr:rowOff>
    </xdr:from>
    <xdr:to>
      <xdr:col>4</xdr:col>
      <xdr:colOff>523223</xdr:colOff>
      <xdr:row>38</xdr:row>
      <xdr:rowOff>81890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917864" y="5437909"/>
          <a:ext cx="2203086" cy="895845"/>
        </a:xfrm>
        <a:prstGeom prst="rect">
          <a:avLst/>
        </a:prstGeom>
      </xdr:spPr>
    </xdr:pic>
    <xdr:clientData/>
  </xdr:twoCellAnchor>
  <xdr:twoCellAnchor editAs="oneCell">
    <xdr:from>
      <xdr:col>2</xdr:col>
      <xdr:colOff>51955</xdr:colOff>
      <xdr:row>118</xdr:row>
      <xdr:rowOff>95251</xdr:rowOff>
    </xdr:from>
    <xdr:to>
      <xdr:col>9</xdr:col>
      <xdr:colOff>354262</xdr:colOff>
      <xdr:row>120</xdr:row>
      <xdr:rowOff>77931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7DE898-7580-9F1B-E10D-397A2FC5B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50819" y="19630160"/>
          <a:ext cx="4848330" cy="311726"/>
        </a:xfrm>
        <a:prstGeom prst="rect">
          <a:avLst/>
        </a:prstGeom>
      </xdr:spPr>
    </xdr:pic>
    <xdr:clientData/>
  </xdr:twoCellAnchor>
  <xdr:twoCellAnchor editAs="oneCell">
    <xdr:from>
      <xdr:col>2</xdr:col>
      <xdr:colOff>25978</xdr:colOff>
      <xdr:row>123</xdr:row>
      <xdr:rowOff>0</xdr:rowOff>
    </xdr:from>
    <xdr:to>
      <xdr:col>5</xdr:col>
      <xdr:colOff>457060</xdr:colOff>
      <xdr:row>126</xdr:row>
      <xdr:rowOff>58104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8398773-C98C-8A1F-9B1B-154CF5DB1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324842" y="20357524"/>
          <a:ext cx="2379378" cy="551671"/>
        </a:xfrm>
        <a:prstGeom prst="rect">
          <a:avLst/>
        </a:prstGeom>
      </xdr:spPr>
    </xdr:pic>
    <xdr:clientData/>
  </xdr:twoCellAnchor>
  <xdr:twoCellAnchor editAs="oneCell">
    <xdr:from>
      <xdr:col>5</xdr:col>
      <xdr:colOff>597476</xdr:colOff>
      <xdr:row>123</xdr:row>
      <xdr:rowOff>12554</xdr:rowOff>
    </xdr:from>
    <xdr:to>
      <xdr:col>9</xdr:col>
      <xdr:colOff>398316</xdr:colOff>
      <xdr:row>126</xdr:row>
      <xdr:rowOff>77853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F0DDAA2-27D0-8BDA-703C-B3F3528285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844636" y="20370078"/>
          <a:ext cx="2398567" cy="5588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</xdr:colOff>
      <xdr:row>44</xdr:row>
      <xdr:rowOff>39696</xdr:rowOff>
    </xdr:from>
    <xdr:ext cx="2230438" cy="197688"/>
    <xdr:pic>
      <xdr:nvPicPr>
        <xdr:cNvPr id="2" name="Picture 1">
          <a:extLst>
            <a:ext uri="{FF2B5EF4-FFF2-40B4-BE49-F238E27FC236}">
              <a16:creationId xmlns:a16="http://schemas.microsoft.com/office/drawing/2014/main" id="{573A00AB-D71E-477C-869B-9A57BC3F6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3101" y="7235834"/>
          <a:ext cx="2230438" cy="197688"/>
        </a:xfrm>
        <a:prstGeom prst="rect">
          <a:avLst/>
        </a:prstGeom>
      </xdr:spPr>
    </xdr:pic>
    <xdr:clientData/>
  </xdr:oneCellAnchor>
  <xdr:oneCellAnchor>
    <xdr:from>
      <xdr:col>3</xdr:col>
      <xdr:colOff>0</xdr:colOff>
      <xdr:row>47</xdr:row>
      <xdr:rowOff>23820</xdr:rowOff>
    </xdr:from>
    <xdr:ext cx="2481635" cy="190499"/>
    <xdr:pic>
      <xdr:nvPicPr>
        <xdr:cNvPr id="3" name="Picture 2">
          <a:extLst>
            <a:ext uri="{FF2B5EF4-FFF2-40B4-BE49-F238E27FC236}">
              <a16:creationId xmlns:a16="http://schemas.microsoft.com/office/drawing/2014/main" id="{D189A250-328C-4F0C-943E-4B144766C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43100" y="7720020"/>
          <a:ext cx="2481635" cy="190499"/>
        </a:xfrm>
        <a:prstGeom prst="rect">
          <a:avLst/>
        </a:prstGeom>
      </xdr:spPr>
    </xdr:pic>
    <xdr:clientData/>
  </xdr:oneCellAnchor>
  <xdr:oneCellAnchor>
    <xdr:from>
      <xdr:col>12</xdr:col>
      <xdr:colOff>508001</xdr:colOff>
      <xdr:row>29</xdr:row>
      <xdr:rowOff>166686</xdr:rowOff>
    </xdr:from>
    <xdr:ext cx="3377266" cy="2479113"/>
    <xdr:pic>
      <xdr:nvPicPr>
        <xdr:cNvPr id="4" name="Picture 3">
          <a:extLst>
            <a:ext uri="{FF2B5EF4-FFF2-40B4-BE49-F238E27FC236}">
              <a16:creationId xmlns:a16="http://schemas.microsoft.com/office/drawing/2014/main" id="{9A190706-1A73-4961-AF24-302D92C032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280401" y="4862511"/>
          <a:ext cx="3377266" cy="2479113"/>
        </a:xfrm>
        <a:prstGeom prst="rect">
          <a:avLst/>
        </a:prstGeom>
      </xdr:spPr>
    </xdr:pic>
    <xdr:clientData/>
  </xdr:oneCellAnchor>
  <xdr:oneCellAnchor>
    <xdr:from>
      <xdr:col>9</xdr:col>
      <xdr:colOff>19642</xdr:colOff>
      <xdr:row>41</xdr:row>
      <xdr:rowOff>23813</xdr:rowOff>
    </xdr:from>
    <xdr:ext cx="1770064" cy="1254126"/>
    <xdr:pic>
      <xdr:nvPicPr>
        <xdr:cNvPr id="5" name="Picture 4">
          <a:extLst>
            <a:ext uri="{FF2B5EF4-FFF2-40B4-BE49-F238E27FC236}">
              <a16:creationId xmlns:a16="http://schemas.microsoft.com/office/drawing/2014/main" id="{729A103B-2383-4E01-8156-7575052E3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942" y="6719888"/>
          <a:ext cx="1770064" cy="1254126"/>
        </a:xfrm>
        <a:prstGeom prst="rect">
          <a:avLst/>
        </a:prstGeom>
      </xdr:spPr>
    </xdr:pic>
    <xdr:clientData/>
  </xdr:oneCellAnchor>
  <xdr:oneCellAnchor>
    <xdr:from>
      <xdr:col>7</xdr:col>
      <xdr:colOff>420687</xdr:colOff>
      <xdr:row>33</xdr:row>
      <xdr:rowOff>79376</xdr:rowOff>
    </xdr:from>
    <xdr:ext cx="2642644" cy="452437"/>
    <xdr:pic>
      <xdr:nvPicPr>
        <xdr:cNvPr id="6" name="Picture 5">
          <a:extLst>
            <a:ext uri="{FF2B5EF4-FFF2-40B4-BE49-F238E27FC236}">
              <a16:creationId xmlns:a16="http://schemas.microsoft.com/office/drawing/2014/main" id="{15670FF4-6C8A-4738-91A7-66A6BD6A2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4587" y="5441951"/>
          <a:ext cx="2642644" cy="452437"/>
        </a:xfrm>
        <a:prstGeom prst="rect">
          <a:avLst/>
        </a:prstGeom>
      </xdr:spPr>
    </xdr:pic>
    <xdr:clientData/>
  </xdr:oneCellAnchor>
  <xdr:oneCellAnchor>
    <xdr:from>
      <xdr:col>6</xdr:col>
      <xdr:colOff>451325</xdr:colOff>
      <xdr:row>30</xdr:row>
      <xdr:rowOff>23813</xdr:rowOff>
    </xdr:from>
    <xdr:ext cx="3534052" cy="428523"/>
    <xdr:pic>
      <xdr:nvPicPr>
        <xdr:cNvPr id="7" name="Picture 6">
          <a:extLst>
            <a:ext uri="{FF2B5EF4-FFF2-40B4-BE49-F238E27FC236}">
              <a16:creationId xmlns:a16="http://schemas.microsoft.com/office/drawing/2014/main" id="{69B40D15-D132-4928-B57C-BEF2161A6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337525" y="4886326"/>
          <a:ext cx="3534052" cy="428523"/>
        </a:xfrm>
        <a:prstGeom prst="rect">
          <a:avLst/>
        </a:prstGeom>
      </xdr:spPr>
    </xdr:pic>
    <xdr:clientData/>
  </xdr:oneCellAnchor>
  <xdr:oneCellAnchor>
    <xdr:from>
      <xdr:col>7</xdr:col>
      <xdr:colOff>611189</xdr:colOff>
      <xdr:row>37</xdr:row>
      <xdr:rowOff>103188</xdr:rowOff>
    </xdr:from>
    <xdr:ext cx="2984500" cy="410947"/>
    <xdr:pic>
      <xdr:nvPicPr>
        <xdr:cNvPr id="8" name="Picture 7">
          <a:extLst>
            <a:ext uri="{FF2B5EF4-FFF2-40B4-BE49-F238E27FC236}">
              <a16:creationId xmlns:a16="http://schemas.microsoft.com/office/drawing/2014/main" id="{875F469D-07E2-4380-962F-1761D5655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145089" y="6132513"/>
          <a:ext cx="2984500" cy="410947"/>
        </a:xfrm>
        <a:prstGeom prst="rect">
          <a:avLst/>
        </a:prstGeom>
      </xdr:spPr>
    </xdr:pic>
    <xdr:clientData/>
  </xdr:oneCellAnchor>
  <xdr:twoCellAnchor>
    <xdr:from>
      <xdr:col>7</xdr:col>
      <xdr:colOff>230188</xdr:colOff>
      <xdr:row>31</xdr:row>
      <xdr:rowOff>23813</xdr:rowOff>
    </xdr:from>
    <xdr:to>
      <xdr:col>7</xdr:col>
      <xdr:colOff>642937</xdr:colOff>
      <xdr:row>34</xdr:row>
      <xdr:rowOff>103187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7EB22EB6-4552-4F3F-9F15-F064EEEB4F70}"/>
            </a:ext>
          </a:extLst>
        </xdr:cNvPr>
        <xdr:cNvCxnSpPr/>
      </xdr:nvCxnSpPr>
      <xdr:spPr>
        <a:xfrm flipV="1">
          <a:off x="4764088" y="5053013"/>
          <a:ext cx="412749" cy="579437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293688</xdr:colOff>
      <xdr:row>34</xdr:row>
      <xdr:rowOff>79375</xdr:rowOff>
    </xdr:from>
    <xdr:to>
      <xdr:col>7</xdr:col>
      <xdr:colOff>611186</xdr:colOff>
      <xdr:row>35</xdr:row>
      <xdr:rowOff>23813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DE3369E-5CD6-4F28-8D73-7D4795EF28AC}"/>
            </a:ext>
          </a:extLst>
        </xdr:cNvPr>
        <xdr:cNvCxnSpPr/>
      </xdr:nvCxnSpPr>
      <xdr:spPr>
        <a:xfrm flipV="1">
          <a:off x="4827588" y="5608638"/>
          <a:ext cx="317498" cy="111125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198438</xdr:colOff>
      <xdr:row>38</xdr:row>
      <xdr:rowOff>55562</xdr:rowOff>
    </xdr:from>
    <xdr:to>
      <xdr:col>9</xdr:col>
      <xdr:colOff>39688</xdr:colOff>
      <xdr:row>38</xdr:row>
      <xdr:rowOff>134937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9D6BA2D4-6A7E-437A-9D05-F35E2A27906F}"/>
            </a:ext>
          </a:extLst>
        </xdr:cNvPr>
        <xdr:cNvCxnSpPr/>
      </xdr:nvCxnSpPr>
      <xdr:spPr>
        <a:xfrm flipV="1">
          <a:off x="4732338" y="6251575"/>
          <a:ext cx="1136650" cy="79375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515938</xdr:colOff>
      <xdr:row>44</xdr:row>
      <xdr:rowOff>79375</xdr:rowOff>
    </xdr:from>
    <xdr:to>
      <xdr:col>15</xdr:col>
      <xdr:colOff>357187</xdr:colOff>
      <xdr:row>46</xdr:row>
      <xdr:rowOff>79375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D5537FE5-190F-4B49-9C35-4843164FA49B}"/>
            </a:ext>
          </a:extLst>
        </xdr:cNvPr>
        <xdr:cNvCxnSpPr/>
      </xdr:nvCxnSpPr>
      <xdr:spPr>
        <a:xfrm flipV="1">
          <a:off x="9583738" y="7275513"/>
          <a:ext cx="488949" cy="333375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oneCellAnchor>
    <xdr:from>
      <xdr:col>13</xdr:col>
      <xdr:colOff>150814</xdr:colOff>
      <xdr:row>45</xdr:row>
      <xdr:rowOff>127001</xdr:rowOff>
    </xdr:from>
    <xdr:ext cx="2944811" cy="376404"/>
    <xdr:pic>
      <xdr:nvPicPr>
        <xdr:cNvPr id="13" name="Picture 12">
          <a:extLst>
            <a:ext uri="{FF2B5EF4-FFF2-40B4-BE49-F238E27FC236}">
              <a16:creationId xmlns:a16="http://schemas.microsoft.com/office/drawing/2014/main" id="{E087C658-770E-416E-BC0D-8FE9583AAE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570914" y="7489826"/>
          <a:ext cx="2944811" cy="376404"/>
        </a:xfrm>
        <a:prstGeom prst="rect">
          <a:avLst/>
        </a:prstGeom>
      </xdr:spPr>
    </xdr:pic>
    <xdr:clientData/>
  </xdr:oneCellAnchor>
  <xdr:oneCellAnchor>
    <xdr:from>
      <xdr:col>14</xdr:col>
      <xdr:colOff>484188</xdr:colOff>
      <xdr:row>48</xdr:row>
      <xdr:rowOff>103188</xdr:rowOff>
    </xdr:from>
    <xdr:ext cx="2058930" cy="428625"/>
    <xdr:pic>
      <xdr:nvPicPr>
        <xdr:cNvPr id="14" name="Picture 13">
          <a:extLst>
            <a:ext uri="{FF2B5EF4-FFF2-40B4-BE49-F238E27FC236}">
              <a16:creationId xmlns:a16="http://schemas.microsoft.com/office/drawing/2014/main" id="{734ED311-BE25-43C3-A202-505196CB3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551988" y="7966076"/>
          <a:ext cx="2058930" cy="428625"/>
        </a:xfrm>
        <a:prstGeom prst="rect">
          <a:avLst/>
        </a:prstGeom>
      </xdr:spPr>
    </xdr:pic>
    <xdr:clientData/>
  </xdr:oneCellAnchor>
  <xdr:oneCellAnchor>
    <xdr:from>
      <xdr:col>3</xdr:col>
      <xdr:colOff>22370</xdr:colOff>
      <xdr:row>58</xdr:row>
      <xdr:rowOff>92364</xdr:rowOff>
    </xdr:from>
    <xdr:ext cx="3467243" cy="307874"/>
    <xdr:pic>
      <xdr:nvPicPr>
        <xdr:cNvPr id="15" name="Picture 14">
          <a:extLst>
            <a:ext uri="{FF2B5EF4-FFF2-40B4-BE49-F238E27FC236}">
              <a16:creationId xmlns:a16="http://schemas.microsoft.com/office/drawing/2014/main" id="{7147A926-583F-40CB-A154-EB3C457A33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970666" y="9695297"/>
          <a:ext cx="3467243" cy="307874"/>
        </a:xfrm>
        <a:prstGeom prst="rect">
          <a:avLst/>
        </a:prstGeom>
      </xdr:spPr>
    </xdr:pic>
    <xdr:clientData/>
  </xdr:oneCellAnchor>
  <xdr:oneCellAnchor>
    <xdr:from>
      <xdr:col>9</xdr:col>
      <xdr:colOff>340592</xdr:colOff>
      <xdr:row>59</xdr:row>
      <xdr:rowOff>45462</xdr:rowOff>
    </xdr:from>
    <xdr:ext cx="3284979" cy="984248"/>
    <xdr:pic>
      <xdr:nvPicPr>
        <xdr:cNvPr id="18" name="Picture 17">
          <a:extLst>
            <a:ext uri="{FF2B5EF4-FFF2-40B4-BE49-F238E27FC236}">
              <a16:creationId xmlns:a16="http://schemas.microsoft.com/office/drawing/2014/main" id="{8DF8202B-0BFB-486D-A5BA-4007B8F50A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185479" y="9812917"/>
          <a:ext cx="3284979" cy="984248"/>
        </a:xfrm>
        <a:prstGeom prst="rect">
          <a:avLst/>
        </a:prstGeom>
      </xdr:spPr>
    </xdr:pic>
    <xdr:clientData/>
  </xdr:oneCellAnchor>
  <xdr:twoCellAnchor editAs="oneCell">
    <xdr:from>
      <xdr:col>6</xdr:col>
      <xdr:colOff>341312</xdr:colOff>
      <xdr:row>3</xdr:row>
      <xdr:rowOff>0</xdr:rowOff>
    </xdr:from>
    <xdr:to>
      <xdr:col>16</xdr:col>
      <xdr:colOff>250469</xdr:colOff>
      <xdr:row>25</xdr:row>
      <xdr:rowOff>15875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DC50CE2-DD35-49DE-8559-3C2DE20ABD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227512" y="485775"/>
          <a:ext cx="6386157" cy="357822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</xdr:row>
      <xdr:rowOff>95250</xdr:rowOff>
    </xdr:from>
    <xdr:to>
      <xdr:col>7</xdr:col>
      <xdr:colOff>242852</xdr:colOff>
      <xdr:row>21</xdr:row>
      <xdr:rowOff>95250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BF4E1F15-9EC5-4CC0-A2E8-62B171308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943100" y="1390650"/>
          <a:ext cx="2833652" cy="2105025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635000</xdr:colOff>
      <xdr:row>11</xdr:row>
      <xdr:rowOff>47626</xdr:rowOff>
    </xdr:from>
    <xdr:to>
      <xdr:col>13</xdr:col>
      <xdr:colOff>31750</xdr:colOff>
      <xdr:row>12</xdr:row>
      <xdr:rowOff>37101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8A53CEE7-00C4-4CCC-8B2D-BFED7EB35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816600" y="1828801"/>
          <a:ext cx="2635250" cy="151400"/>
        </a:xfrm>
        <a:prstGeom prst="rect">
          <a:avLst/>
        </a:prstGeom>
      </xdr:spPr>
    </xdr:pic>
    <xdr:clientData/>
  </xdr:twoCellAnchor>
  <xdr:twoCellAnchor>
    <xdr:from>
      <xdr:col>3</xdr:col>
      <xdr:colOff>508000</xdr:colOff>
      <xdr:row>11</xdr:row>
      <xdr:rowOff>111125</xdr:rowOff>
    </xdr:from>
    <xdr:to>
      <xdr:col>8</xdr:col>
      <xdr:colOff>571500</xdr:colOff>
      <xdr:row>11</xdr:row>
      <xdr:rowOff>119063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3F376A3A-C592-422A-8A06-D410BFCF4B2C}"/>
            </a:ext>
          </a:extLst>
        </xdr:cNvPr>
        <xdr:cNvCxnSpPr/>
      </xdr:nvCxnSpPr>
      <xdr:spPr>
        <a:xfrm flipH="1" flipV="1">
          <a:off x="2451100" y="1892300"/>
          <a:ext cx="3302000" cy="7938"/>
        </a:xfrm>
        <a:prstGeom prst="straightConnector1">
          <a:avLst/>
        </a:prstGeom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15877</xdr:colOff>
      <xdr:row>78</xdr:row>
      <xdr:rowOff>81826</xdr:rowOff>
    </xdr:from>
    <xdr:to>
      <xdr:col>10</xdr:col>
      <xdr:colOff>103189</xdr:colOff>
      <xdr:row>79</xdr:row>
      <xdr:rowOff>118864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4D282F52-D8C1-408D-9BCF-BAC628F7F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958977" y="12954864"/>
          <a:ext cx="4621212" cy="198963"/>
        </a:xfrm>
        <a:prstGeom prst="rect">
          <a:avLst/>
        </a:prstGeom>
      </xdr:spPr>
    </xdr:pic>
    <xdr:clientData/>
  </xdr:twoCellAnchor>
  <xdr:twoCellAnchor editAs="oneCell">
    <xdr:from>
      <xdr:col>3</xdr:col>
      <xdr:colOff>15876</xdr:colOff>
      <xdr:row>80</xdr:row>
      <xdr:rowOff>7216</xdr:rowOff>
    </xdr:from>
    <xdr:to>
      <xdr:col>10</xdr:col>
      <xdr:colOff>214313</xdr:colOff>
      <xdr:row>81</xdr:row>
      <xdr:rowOff>107303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DB1277A6-AC28-4C04-AB12-A96C3F4B74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958976" y="13204104"/>
          <a:ext cx="4732337" cy="262012"/>
        </a:xfrm>
        <a:prstGeom prst="rect">
          <a:avLst/>
        </a:prstGeom>
      </xdr:spPr>
    </xdr:pic>
    <xdr:clientData/>
  </xdr:twoCellAnchor>
  <xdr:twoCellAnchor editAs="oneCell">
    <xdr:from>
      <xdr:col>3</xdr:col>
      <xdr:colOff>63497</xdr:colOff>
      <xdr:row>82</xdr:row>
      <xdr:rowOff>23813</xdr:rowOff>
    </xdr:from>
    <xdr:to>
      <xdr:col>9</xdr:col>
      <xdr:colOff>283748</xdr:colOff>
      <xdr:row>83</xdr:row>
      <xdr:rowOff>114554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7FEAA4FE-A643-43BF-943F-CEB350BA4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006597" y="13544551"/>
          <a:ext cx="4106451" cy="252666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74</xdr:row>
      <xdr:rowOff>138546</xdr:rowOff>
    </xdr:from>
    <xdr:to>
      <xdr:col>10</xdr:col>
      <xdr:colOff>458932</xdr:colOff>
      <xdr:row>77</xdr:row>
      <xdr:rowOff>23813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BEA72837-1596-4FF6-99E4-C298BCD60FD0}"/>
            </a:ext>
          </a:extLst>
        </xdr:cNvPr>
        <xdr:cNvCxnSpPr/>
      </xdr:nvCxnSpPr>
      <xdr:spPr>
        <a:xfrm flipV="1">
          <a:off x="6589568" y="12434455"/>
          <a:ext cx="363682" cy="378836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623454</xdr:colOff>
      <xdr:row>57</xdr:row>
      <xdr:rowOff>0</xdr:rowOff>
    </xdr:from>
    <xdr:to>
      <xdr:col>11</xdr:col>
      <xdr:colOff>268431</xdr:colOff>
      <xdr:row>63</xdr:row>
      <xdr:rowOff>138546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C78785FA-7B1A-4599-B06A-0D68AD143C54}"/>
            </a:ext>
          </a:extLst>
        </xdr:cNvPr>
        <xdr:cNvCxnSpPr/>
      </xdr:nvCxnSpPr>
      <xdr:spPr>
        <a:xfrm>
          <a:off x="6468341" y="9438409"/>
          <a:ext cx="943841" cy="112568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481025</xdr:colOff>
      <xdr:row>71</xdr:row>
      <xdr:rowOff>147206</xdr:rowOff>
    </xdr:from>
    <xdr:to>
      <xdr:col>17</xdr:col>
      <xdr:colOff>372780</xdr:colOff>
      <xdr:row>77</xdr:row>
      <xdr:rowOff>69272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CE395FCB-1423-4568-B55C-6B8D0E38A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975343" y="11888933"/>
          <a:ext cx="4437779" cy="969817"/>
        </a:xfrm>
        <a:prstGeom prst="rect">
          <a:avLst/>
        </a:prstGeom>
      </xdr:spPr>
    </xdr:pic>
    <xdr:clientData/>
  </xdr:twoCellAnchor>
  <xdr:twoCellAnchor>
    <xdr:from>
      <xdr:col>9</xdr:col>
      <xdr:colOff>51952</xdr:colOff>
      <xdr:row>82</xdr:row>
      <xdr:rowOff>81827</xdr:rowOff>
    </xdr:from>
    <xdr:to>
      <xdr:col>11</xdr:col>
      <xdr:colOff>-1</xdr:colOff>
      <xdr:row>83</xdr:row>
      <xdr:rowOff>43294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31D91974-AAE5-4F9A-8F56-DE63F8561151}"/>
            </a:ext>
          </a:extLst>
        </xdr:cNvPr>
        <xdr:cNvCxnSpPr/>
      </xdr:nvCxnSpPr>
      <xdr:spPr>
        <a:xfrm>
          <a:off x="5896839" y="13693918"/>
          <a:ext cx="1246911" cy="12599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303068</xdr:colOff>
      <xdr:row>81</xdr:row>
      <xdr:rowOff>51954</xdr:rowOff>
    </xdr:from>
    <xdr:to>
      <xdr:col>3</xdr:col>
      <xdr:colOff>380999</xdr:colOff>
      <xdr:row>83</xdr:row>
      <xdr:rowOff>155862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75BA5264-207A-461A-AA8D-A1CA06F584C0}"/>
            </a:ext>
          </a:extLst>
        </xdr:cNvPr>
        <xdr:cNvCxnSpPr/>
      </xdr:nvCxnSpPr>
      <xdr:spPr>
        <a:xfrm flipV="1">
          <a:off x="1598468" y="13410767"/>
          <a:ext cx="725631" cy="42775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640772</xdr:colOff>
      <xdr:row>30</xdr:row>
      <xdr:rowOff>147205</xdr:rowOff>
    </xdr:from>
    <xdr:to>
      <xdr:col>5</xdr:col>
      <xdr:colOff>562840</xdr:colOff>
      <xdr:row>31</xdr:row>
      <xdr:rowOff>87275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3FAF35C3-56D4-4DBD-8B05-9CF250736B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939636" y="5082887"/>
          <a:ext cx="1870364" cy="10459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40</xdr:row>
      <xdr:rowOff>43295</xdr:rowOff>
    </xdr:from>
    <xdr:to>
      <xdr:col>5</xdr:col>
      <xdr:colOff>103908</xdr:colOff>
      <xdr:row>41</xdr:row>
      <xdr:rowOff>122455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BF3708BA-17AF-40A0-9B17-73180D2E8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948296" y="6624204"/>
          <a:ext cx="1402772" cy="243684"/>
        </a:xfrm>
        <a:prstGeom prst="rect">
          <a:avLst/>
        </a:prstGeom>
      </xdr:spPr>
    </xdr:pic>
    <xdr:clientData/>
  </xdr:twoCellAnchor>
  <xdr:twoCellAnchor editAs="oneCell">
    <xdr:from>
      <xdr:col>3</xdr:col>
      <xdr:colOff>25977</xdr:colOff>
      <xdr:row>33</xdr:row>
      <xdr:rowOff>60613</xdr:rowOff>
    </xdr:from>
    <xdr:to>
      <xdr:col>4</xdr:col>
      <xdr:colOff>580159</xdr:colOff>
      <xdr:row>36</xdr:row>
      <xdr:rowOff>56473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A59A58D2-43DC-45F2-A509-47141612C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974273" y="5489864"/>
          <a:ext cx="1203613" cy="489427"/>
        </a:xfrm>
        <a:prstGeom prst="rect">
          <a:avLst/>
        </a:prstGeom>
      </xdr:spPr>
    </xdr:pic>
    <xdr:clientData/>
  </xdr:twoCellAnchor>
  <xdr:twoCellAnchor editAs="oneCell">
    <xdr:from>
      <xdr:col>1</xdr:col>
      <xdr:colOff>233795</xdr:colOff>
      <xdr:row>93</xdr:row>
      <xdr:rowOff>112569</xdr:rowOff>
    </xdr:from>
    <xdr:to>
      <xdr:col>9</xdr:col>
      <xdr:colOff>617809</xdr:colOff>
      <xdr:row>101</xdr:row>
      <xdr:rowOff>121227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91E06545-C182-4016-BC6E-0406C4B83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881495" y="15419244"/>
          <a:ext cx="5565614" cy="1304058"/>
        </a:xfrm>
        <a:prstGeom prst="rect">
          <a:avLst/>
        </a:prstGeom>
      </xdr:spPr>
    </xdr:pic>
    <xdr:clientData/>
  </xdr:twoCellAnchor>
  <xdr:twoCellAnchor editAs="oneCell">
    <xdr:from>
      <xdr:col>10</xdr:col>
      <xdr:colOff>285751</xdr:colOff>
      <xdr:row>94</xdr:row>
      <xdr:rowOff>86591</xdr:rowOff>
    </xdr:from>
    <xdr:to>
      <xdr:col>21</xdr:col>
      <xdr:colOff>18190</xdr:colOff>
      <xdr:row>103</xdr:row>
      <xdr:rowOff>101124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DAB9D793-6598-4A23-B627-F00168548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762751" y="15555191"/>
          <a:ext cx="6857139" cy="1471858"/>
        </a:xfrm>
        <a:prstGeom prst="rect">
          <a:avLst/>
        </a:prstGeom>
      </xdr:spPr>
    </xdr:pic>
    <xdr:clientData/>
  </xdr:twoCellAnchor>
  <xdr:twoCellAnchor editAs="oneCell">
    <xdr:from>
      <xdr:col>10</xdr:col>
      <xdr:colOff>268434</xdr:colOff>
      <xdr:row>103</xdr:row>
      <xdr:rowOff>121228</xdr:rowOff>
    </xdr:from>
    <xdr:to>
      <xdr:col>17</xdr:col>
      <xdr:colOff>160505</xdr:colOff>
      <xdr:row>113</xdr:row>
      <xdr:rowOff>76001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6CD08BEC-35D2-4386-989A-ADB4AA213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745434" y="17047153"/>
          <a:ext cx="4425971" cy="1574023"/>
        </a:xfrm>
        <a:prstGeom prst="rect">
          <a:avLst/>
        </a:prstGeom>
      </xdr:spPr>
    </xdr:pic>
    <xdr:clientData/>
  </xdr:twoCellAnchor>
  <xdr:twoCellAnchor editAs="oneCell">
    <xdr:from>
      <xdr:col>2</xdr:col>
      <xdr:colOff>51955</xdr:colOff>
      <xdr:row>118</xdr:row>
      <xdr:rowOff>95251</xdr:rowOff>
    </xdr:from>
    <xdr:to>
      <xdr:col>9</xdr:col>
      <xdr:colOff>354262</xdr:colOff>
      <xdr:row>120</xdr:row>
      <xdr:rowOff>77931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7D7CA1D2-B89B-486F-98F7-4AC61DBA0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347355" y="19454814"/>
          <a:ext cx="4836207" cy="306530"/>
        </a:xfrm>
        <a:prstGeom prst="rect">
          <a:avLst/>
        </a:prstGeom>
      </xdr:spPr>
    </xdr:pic>
    <xdr:clientData/>
  </xdr:twoCellAnchor>
  <xdr:twoCellAnchor editAs="oneCell">
    <xdr:from>
      <xdr:col>2</xdr:col>
      <xdr:colOff>25978</xdr:colOff>
      <xdr:row>123</xdr:row>
      <xdr:rowOff>0</xdr:rowOff>
    </xdr:from>
    <xdr:to>
      <xdr:col>5</xdr:col>
      <xdr:colOff>457060</xdr:colOff>
      <xdr:row>126</xdr:row>
      <xdr:rowOff>58104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B579A7D9-DBFC-418D-B0FC-1676DC36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21378" y="20169188"/>
          <a:ext cx="2374182" cy="543879"/>
        </a:xfrm>
        <a:prstGeom prst="rect">
          <a:avLst/>
        </a:prstGeom>
      </xdr:spPr>
    </xdr:pic>
    <xdr:clientData/>
  </xdr:twoCellAnchor>
  <xdr:twoCellAnchor editAs="oneCell">
    <xdr:from>
      <xdr:col>5</xdr:col>
      <xdr:colOff>597476</xdr:colOff>
      <xdr:row>123</xdr:row>
      <xdr:rowOff>12554</xdr:rowOff>
    </xdr:from>
    <xdr:to>
      <xdr:col>9</xdr:col>
      <xdr:colOff>398316</xdr:colOff>
      <xdr:row>126</xdr:row>
      <xdr:rowOff>77853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EB46E0EB-DDCB-4309-8669-6F789C189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835976" y="20181742"/>
          <a:ext cx="2391640" cy="551074"/>
        </a:xfrm>
        <a:prstGeom prst="rect">
          <a:avLst/>
        </a:prstGeom>
      </xdr:spPr>
    </xdr:pic>
    <xdr:clientData/>
  </xdr:twoCellAnchor>
  <xdr:twoCellAnchor editAs="oneCell">
    <xdr:from>
      <xdr:col>0</xdr:col>
      <xdr:colOff>164523</xdr:colOff>
      <xdr:row>30</xdr:row>
      <xdr:rowOff>34637</xdr:rowOff>
    </xdr:from>
    <xdr:to>
      <xdr:col>6</xdr:col>
      <xdr:colOff>320387</xdr:colOff>
      <xdr:row>31</xdr:row>
      <xdr:rowOff>62549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B52D79FD-5E7F-E40E-A6C9-8E6C335ED5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64523" y="4970319"/>
          <a:ext cx="4052455" cy="192435"/>
        </a:xfrm>
        <a:prstGeom prst="rect">
          <a:avLst/>
        </a:prstGeom>
      </xdr:spPr>
    </xdr:pic>
    <xdr:clientData/>
  </xdr:twoCellAnchor>
  <xdr:twoCellAnchor editAs="oneCell">
    <xdr:from>
      <xdr:col>0</xdr:col>
      <xdr:colOff>138546</xdr:colOff>
      <xdr:row>39</xdr:row>
      <xdr:rowOff>112568</xdr:rowOff>
    </xdr:from>
    <xdr:to>
      <xdr:col>6</xdr:col>
      <xdr:colOff>225137</xdr:colOff>
      <xdr:row>42</xdr:row>
      <xdr:rowOff>96123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FFDAE8D9-A71B-7B88-149B-B77B53613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138546" y="6528955"/>
          <a:ext cx="3983182" cy="477123"/>
        </a:xfrm>
        <a:prstGeom prst="rect">
          <a:avLst/>
        </a:prstGeom>
      </xdr:spPr>
    </xdr:pic>
    <xdr:clientData/>
  </xdr:twoCellAnchor>
  <xdr:twoCellAnchor editAs="oneCell">
    <xdr:from>
      <xdr:col>0</xdr:col>
      <xdr:colOff>173183</xdr:colOff>
      <xdr:row>32</xdr:row>
      <xdr:rowOff>25979</xdr:rowOff>
    </xdr:from>
    <xdr:to>
      <xdr:col>6</xdr:col>
      <xdr:colOff>423520</xdr:colOff>
      <xdr:row>38</xdr:row>
      <xdr:rowOff>86590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B961E93D-72A4-76FC-C1DA-6A1D7D59B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73183" y="5290706"/>
          <a:ext cx="4146928" cy="1047748"/>
        </a:xfrm>
        <a:prstGeom prst="rect">
          <a:avLst/>
        </a:prstGeom>
      </xdr:spPr>
    </xdr:pic>
    <xdr:clientData/>
  </xdr:twoCellAnchor>
  <xdr:twoCellAnchor editAs="oneCell">
    <xdr:from>
      <xdr:col>6</xdr:col>
      <xdr:colOff>536864</xdr:colOff>
      <xdr:row>139</xdr:row>
      <xdr:rowOff>25977</xdr:rowOff>
    </xdr:from>
    <xdr:to>
      <xdr:col>14</xdr:col>
      <xdr:colOff>265219</xdr:colOff>
      <xdr:row>163</xdr:row>
      <xdr:rowOff>10764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FADD9CFB-1036-5BD0-F02A-4C6EB3E79A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433455" y="23024522"/>
          <a:ext cx="4923809" cy="3933333"/>
        </a:xfrm>
        <a:prstGeom prst="rect">
          <a:avLst/>
        </a:prstGeom>
      </xdr:spPr>
    </xdr:pic>
    <xdr:clientData/>
  </xdr:twoCellAnchor>
  <xdr:twoCellAnchor editAs="oneCell">
    <xdr:from>
      <xdr:col>2</xdr:col>
      <xdr:colOff>25978</xdr:colOff>
      <xdr:row>139</xdr:row>
      <xdr:rowOff>86592</xdr:rowOff>
    </xdr:from>
    <xdr:to>
      <xdr:col>6</xdr:col>
      <xdr:colOff>558027</xdr:colOff>
      <xdr:row>140</xdr:row>
      <xdr:rowOff>88422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3D4469C8-A64E-02C3-A171-E273F39D3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324842" y="23085137"/>
          <a:ext cx="3129776" cy="166354"/>
        </a:xfrm>
        <a:prstGeom prst="rect">
          <a:avLst/>
        </a:prstGeom>
      </xdr:spPr>
    </xdr:pic>
    <xdr:clientData/>
  </xdr:twoCellAnchor>
  <xdr:twoCellAnchor editAs="oneCell">
    <xdr:from>
      <xdr:col>2</xdr:col>
      <xdr:colOff>17320</xdr:colOff>
      <xdr:row>155</xdr:row>
      <xdr:rowOff>51955</xdr:rowOff>
    </xdr:from>
    <xdr:to>
      <xdr:col>7</xdr:col>
      <xdr:colOff>356442</xdr:colOff>
      <xdr:row>157</xdr:row>
      <xdr:rowOff>152334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19F0202C-E773-7E05-161B-609E707A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316184" y="25682864"/>
          <a:ext cx="3586282" cy="42942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143</xdr:row>
      <xdr:rowOff>34637</xdr:rowOff>
    </xdr:from>
    <xdr:to>
      <xdr:col>6</xdr:col>
      <xdr:colOff>164523</xdr:colOff>
      <xdr:row>149</xdr:row>
      <xdr:rowOff>103654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6E097BBD-F76D-878F-698D-7368E997D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298864" y="23691273"/>
          <a:ext cx="2762250" cy="1056154"/>
        </a:xfrm>
        <a:prstGeom prst="rect">
          <a:avLst/>
        </a:prstGeom>
      </xdr:spPr>
    </xdr:pic>
    <xdr:clientData/>
  </xdr:twoCellAnchor>
  <xdr:twoCellAnchor>
    <xdr:from>
      <xdr:col>4</xdr:col>
      <xdr:colOff>484909</xdr:colOff>
      <xdr:row>145</xdr:row>
      <xdr:rowOff>51954</xdr:rowOff>
    </xdr:from>
    <xdr:to>
      <xdr:col>7</xdr:col>
      <xdr:colOff>536862</xdr:colOff>
      <xdr:row>145</xdr:row>
      <xdr:rowOff>77933</xdr:rowOff>
    </xdr:to>
    <xdr:cxnSp macro="">
      <xdr:nvCxnSpPr>
        <xdr:cNvPr id="57" name="Straight Arrow Connector 56">
          <a:extLst>
            <a:ext uri="{FF2B5EF4-FFF2-40B4-BE49-F238E27FC236}">
              <a16:creationId xmlns:a16="http://schemas.microsoft.com/office/drawing/2014/main" id="{B24629E3-6BA3-4A7D-B74F-E30488B8B691}"/>
            </a:ext>
          </a:extLst>
        </xdr:cNvPr>
        <xdr:cNvCxnSpPr/>
      </xdr:nvCxnSpPr>
      <xdr:spPr>
        <a:xfrm flipH="1">
          <a:off x="3082636" y="24037636"/>
          <a:ext cx="2000250" cy="2597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8659</xdr:colOff>
      <xdr:row>152</xdr:row>
      <xdr:rowOff>34635</xdr:rowOff>
    </xdr:from>
    <xdr:to>
      <xdr:col>7</xdr:col>
      <xdr:colOff>190499</xdr:colOff>
      <xdr:row>155</xdr:row>
      <xdr:rowOff>138545</xdr:rowOff>
    </xdr:to>
    <xdr:cxnSp macro="">
      <xdr:nvCxnSpPr>
        <xdr:cNvPr id="58" name="Straight Arrow Connector 57">
          <a:extLst>
            <a:ext uri="{FF2B5EF4-FFF2-40B4-BE49-F238E27FC236}">
              <a16:creationId xmlns:a16="http://schemas.microsoft.com/office/drawing/2014/main" id="{8DEAEA92-22A4-4FA6-B8B2-68142AB2FC79}"/>
            </a:ext>
          </a:extLst>
        </xdr:cNvPr>
        <xdr:cNvCxnSpPr/>
      </xdr:nvCxnSpPr>
      <xdr:spPr>
        <a:xfrm flipH="1">
          <a:off x="2606386" y="25171977"/>
          <a:ext cx="2130137" cy="59747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450272</xdr:colOff>
      <xdr:row>140</xdr:row>
      <xdr:rowOff>51955</xdr:rowOff>
    </xdr:from>
    <xdr:to>
      <xdr:col>8</xdr:col>
      <xdr:colOff>415636</xdr:colOff>
      <xdr:row>141</xdr:row>
      <xdr:rowOff>51954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6DD35131-89AE-41D5-A168-D641C9573037}"/>
            </a:ext>
          </a:extLst>
        </xdr:cNvPr>
        <xdr:cNvCxnSpPr/>
      </xdr:nvCxnSpPr>
      <xdr:spPr>
        <a:xfrm flipH="1" flipV="1">
          <a:off x="3697432" y="23215024"/>
          <a:ext cx="1913659" cy="16452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34637</xdr:colOff>
      <xdr:row>63</xdr:row>
      <xdr:rowOff>129887</xdr:rowOff>
    </xdr:from>
    <xdr:to>
      <xdr:col>9</xdr:col>
      <xdr:colOff>43446</xdr:colOff>
      <xdr:row>65</xdr:row>
      <xdr:rowOff>54270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F893A37A-648D-691F-8EA6-E5B584BDA0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982933" y="10555432"/>
          <a:ext cx="3905400" cy="253429"/>
        </a:xfrm>
        <a:prstGeom prst="rect">
          <a:avLst/>
        </a:prstGeom>
      </xdr:spPr>
    </xdr:pic>
    <xdr:clientData/>
  </xdr:twoCellAnchor>
  <xdr:twoCellAnchor editAs="oneCell">
    <xdr:from>
      <xdr:col>3</xdr:col>
      <xdr:colOff>25976</xdr:colOff>
      <xdr:row>56</xdr:row>
      <xdr:rowOff>34637</xdr:rowOff>
    </xdr:from>
    <xdr:to>
      <xdr:col>6</xdr:col>
      <xdr:colOff>575384</xdr:colOff>
      <xdr:row>57</xdr:row>
      <xdr:rowOff>143197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0731EF22-5450-E39F-4A28-0DC14C730D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1974272" y="9308524"/>
          <a:ext cx="2497703" cy="273082"/>
        </a:xfrm>
        <a:prstGeom prst="rect">
          <a:avLst/>
        </a:prstGeom>
      </xdr:spPr>
    </xdr:pic>
    <xdr:clientData/>
  </xdr:twoCellAnchor>
  <xdr:twoCellAnchor editAs="oneCell">
    <xdr:from>
      <xdr:col>3</xdr:col>
      <xdr:colOff>34637</xdr:colOff>
      <xdr:row>73</xdr:row>
      <xdr:rowOff>121227</xdr:rowOff>
    </xdr:from>
    <xdr:to>
      <xdr:col>8</xdr:col>
      <xdr:colOff>69592</xdr:colOff>
      <xdr:row>75</xdr:row>
      <xdr:rowOff>112561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6E16CC2E-ED36-F04B-FEBE-40AD2C379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1982933" y="12252614"/>
          <a:ext cx="3282114" cy="32038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8</xdr:col>
      <xdr:colOff>207818</xdr:colOff>
      <xdr:row>77</xdr:row>
      <xdr:rowOff>93191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40920C9F-470A-6F06-03EB-67820E04A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1948296" y="12624955"/>
          <a:ext cx="3454977" cy="257714"/>
        </a:xfrm>
        <a:prstGeom prst="rect">
          <a:avLst/>
        </a:prstGeom>
      </xdr:spPr>
    </xdr:pic>
    <xdr:clientData/>
  </xdr:twoCellAnchor>
  <xdr:twoCellAnchor editAs="oneCell">
    <xdr:from>
      <xdr:col>3</xdr:col>
      <xdr:colOff>51955</xdr:colOff>
      <xdr:row>68</xdr:row>
      <xdr:rowOff>17318</xdr:rowOff>
    </xdr:from>
    <xdr:to>
      <xdr:col>6</xdr:col>
      <xdr:colOff>294409</xdr:colOff>
      <xdr:row>69</xdr:row>
      <xdr:rowOff>139168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14EF0105-90A4-6B71-E26A-0A05AC81A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2000251" y="11265478"/>
          <a:ext cx="2190749" cy="286372"/>
        </a:xfrm>
        <a:prstGeom prst="rect">
          <a:avLst/>
        </a:prstGeom>
      </xdr:spPr>
    </xdr:pic>
    <xdr:clientData/>
  </xdr:twoCellAnchor>
  <xdr:twoCellAnchor editAs="oneCell">
    <xdr:from>
      <xdr:col>9</xdr:col>
      <xdr:colOff>95251</xdr:colOff>
      <xdr:row>67</xdr:row>
      <xdr:rowOff>77933</xdr:rowOff>
    </xdr:from>
    <xdr:to>
      <xdr:col>13</xdr:col>
      <xdr:colOff>60613</xdr:colOff>
      <xdr:row>68</xdr:row>
      <xdr:rowOff>139944</xdr:rowOff>
    </xdr:to>
    <xdr:pic>
      <xdr:nvPicPr>
        <xdr:cNvPr id="71" name="Picture 70">
          <a:extLst>
            <a:ext uri="{FF2B5EF4-FFF2-40B4-BE49-F238E27FC236}">
              <a16:creationId xmlns:a16="http://schemas.microsoft.com/office/drawing/2014/main" id="{28FEC70D-F844-9C19-3DEA-4332FB6BC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5940138" y="11161569"/>
          <a:ext cx="2563090" cy="226535"/>
        </a:xfrm>
        <a:prstGeom prst="rect">
          <a:avLst/>
        </a:prstGeom>
      </xdr:spPr>
    </xdr:pic>
    <xdr:clientData/>
  </xdr:twoCellAnchor>
  <xdr:twoCellAnchor editAs="oneCell">
    <xdr:from>
      <xdr:col>14</xdr:col>
      <xdr:colOff>502227</xdr:colOff>
      <xdr:row>64</xdr:row>
      <xdr:rowOff>8660</xdr:rowOff>
    </xdr:from>
    <xdr:to>
      <xdr:col>21</xdr:col>
      <xdr:colOff>528203</xdr:colOff>
      <xdr:row>70</xdr:row>
      <xdr:rowOff>145314</xdr:rowOff>
    </xdr:to>
    <xdr:pic>
      <xdr:nvPicPr>
        <xdr:cNvPr id="72" name="Picture 71">
          <a:extLst>
            <a:ext uri="{FF2B5EF4-FFF2-40B4-BE49-F238E27FC236}">
              <a16:creationId xmlns:a16="http://schemas.microsoft.com/office/drawing/2014/main" id="{9133BD67-7927-DEAE-96A2-F2CC8D5708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9594272" y="10598729"/>
          <a:ext cx="4572000" cy="1123790"/>
        </a:xfrm>
        <a:prstGeom prst="rect">
          <a:avLst/>
        </a:prstGeom>
      </xdr:spPr>
    </xdr:pic>
    <xdr:clientData/>
  </xdr:twoCellAnchor>
  <xdr:twoCellAnchor editAs="oneCell">
    <xdr:from>
      <xdr:col>14</xdr:col>
      <xdr:colOff>424295</xdr:colOff>
      <xdr:row>55</xdr:row>
      <xdr:rowOff>155865</xdr:rowOff>
    </xdr:from>
    <xdr:to>
      <xdr:col>20</xdr:col>
      <xdr:colOff>528206</xdr:colOff>
      <xdr:row>58</xdr:row>
      <xdr:rowOff>72994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5B7C9EA0-49FC-121C-CD8C-EB8DA71B6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9516340" y="9265229"/>
          <a:ext cx="4000502" cy="410698"/>
        </a:xfrm>
        <a:prstGeom prst="rect">
          <a:avLst/>
        </a:prstGeom>
      </xdr:spPr>
    </xdr:pic>
    <xdr:clientData/>
  </xdr:twoCellAnchor>
  <xdr:twoCellAnchor editAs="oneCell">
    <xdr:from>
      <xdr:col>14</xdr:col>
      <xdr:colOff>424296</xdr:colOff>
      <xdr:row>60</xdr:row>
      <xdr:rowOff>8659</xdr:rowOff>
    </xdr:from>
    <xdr:to>
      <xdr:col>20</xdr:col>
      <xdr:colOff>476250</xdr:colOff>
      <xdr:row>62</xdr:row>
      <xdr:rowOff>26060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F028428D-B8BF-D5C0-4313-D3860BE70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9516341" y="9940637"/>
          <a:ext cx="3948545" cy="346447"/>
        </a:xfrm>
        <a:prstGeom prst="rect">
          <a:avLst/>
        </a:prstGeom>
      </xdr:spPr>
    </xdr:pic>
    <xdr:clientData/>
  </xdr:twoCellAnchor>
  <xdr:twoCellAnchor editAs="oneCell">
    <xdr:from>
      <xdr:col>3</xdr:col>
      <xdr:colOff>17318</xdr:colOff>
      <xdr:row>61</xdr:row>
      <xdr:rowOff>25977</xdr:rowOff>
    </xdr:from>
    <xdr:to>
      <xdr:col>9</xdr:col>
      <xdr:colOff>129887</xdr:colOff>
      <xdr:row>62</xdr:row>
      <xdr:rowOff>114220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2B008890-A886-8DC2-361C-ED8871D11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1965614" y="10122477"/>
          <a:ext cx="4009160" cy="252767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571500</xdr:colOff>
      <xdr:row>56</xdr:row>
      <xdr:rowOff>51954</xdr:rowOff>
    </xdr:from>
    <xdr:to>
      <xdr:col>14</xdr:col>
      <xdr:colOff>277093</xdr:colOff>
      <xdr:row>57</xdr:row>
      <xdr:rowOff>80687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DE458992-7216-D815-14F7-A6E590667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5117524" y="9325841"/>
          <a:ext cx="4251614" cy="193255"/>
        </a:xfrm>
        <a:prstGeom prst="rect">
          <a:avLst/>
        </a:prstGeom>
      </xdr:spPr>
    </xdr:pic>
    <xdr:clientData/>
  </xdr:twoCellAnchor>
  <xdr:twoCellAnchor editAs="oneCell">
    <xdr:from>
      <xdr:col>1</xdr:col>
      <xdr:colOff>225135</xdr:colOff>
      <xdr:row>83</xdr:row>
      <xdr:rowOff>95250</xdr:rowOff>
    </xdr:from>
    <xdr:to>
      <xdr:col>9</xdr:col>
      <xdr:colOff>405255</xdr:colOff>
      <xdr:row>85</xdr:row>
      <xdr:rowOff>72740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BBA976DC-5F20-61AD-B129-704AFF5EF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874568" y="13871865"/>
          <a:ext cx="5375574" cy="306535"/>
        </a:xfrm>
        <a:prstGeom prst="rect">
          <a:avLst/>
        </a:prstGeom>
      </xdr:spPr>
    </xdr:pic>
    <xdr:clientData/>
  </xdr:twoCellAnchor>
  <xdr:twoCellAnchor editAs="oneCell">
    <xdr:from>
      <xdr:col>10</xdr:col>
      <xdr:colOff>640774</xdr:colOff>
      <xdr:row>73</xdr:row>
      <xdr:rowOff>155862</xdr:rowOff>
    </xdr:from>
    <xdr:to>
      <xdr:col>18</xdr:col>
      <xdr:colOff>329045</xdr:colOff>
      <xdr:row>75</xdr:row>
      <xdr:rowOff>93331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C14FEC90-B53F-464B-3D79-801B6A5CC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7135092" y="12287249"/>
          <a:ext cx="4883726" cy="266515"/>
        </a:xfrm>
        <a:prstGeom prst="rect">
          <a:avLst/>
        </a:prstGeom>
      </xdr:spPr>
    </xdr:pic>
    <xdr:clientData/>
  </xdr:twoCellAnchor>
  <xdr:twoCellAnchor editAs="oneCell">
    <xdr:from>
      <xdr:col>5</xdr:col>
      <xdr:colOff>77930</xdr:colOff>
      <xdr:row>70</xdr:row>
      <xdr:rowOff>69274</xdr:rowOff>
    </xdr:from>
    <xdr:to>
      <xdr:col>9</xdr:col>
      <xdr:colOff>120420</xdr:colOff>
      <xdr:row>71</xdr:row>
      <xdr:rowOff>129887</xdr:rowOff>
    </xdr:to>
    <xdr:pic>
      <xdr:nvPicPr>
        <xdr:cNvPr id="85" name="Picture 84">
          <a:extLst>
            <a:ext uri="{FF2B5EF4-FFF2-40B4-BE49-F238E27FC236}">
              <a16:creationId xmlns:a16="http://schemas.microsoft.com/office/drawing/2014/main" id="{50C95C32-3E2C-FCCC-6474-8B1A8B099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325090" y="11646479"/>
          <a:ext cx="2640217" cy="225135"/>
        </a:xfrm>
        <a:prstGeom prst="rect">
          <a:avLst/>
        </a:prstGeom>
      </xdr:spPr>
    </xdr:pic>
    <xdr:clientData/>
  </xdr:twoCellAnchor>
  <xdr:twoCellAnchor editAs="oneCell">
    <xdr:from>
      <xdr:col>11</xdr:col>
      <xdr:colOff>86589</xdr:colOff>
      <xdr:row>79</xdr:row>
      <xdr:rowOff>77931</xdr:rowOff>
    </xdr:from>
    <xdr:to>
      <xdr:col>15</xdr:col>
      <xdr:colOff>555887</xdr:colOff>
      <xdr:row>86</xdr:row>
      <xdr:rowOff>155862</xdr:rowOff>
    </xdr:to>
    <xdr:pic>
      <xdr:nvPicPr>
        <xdr:cNvPr id="86" name="Picture 85">
          <a:extLst>
            <a:ext uri="{FF2B5EF4-FFF2-40B4-BE49-F238E27FC236}">
              <a16:creationId xmlns:a16="http://schemas.microsoft.com/office/drawing/2014/main" id="{F5D08EF4-CCC4-3250-70D0-9FC800917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7230340" y="13196455"/>
          <a:ext cx="3067025" cy="1229589"/>
        </a:xfrm>
        <a:prstGeom prst="rect">
          <a:avLst/>
        </a:prstGeom>
      </xdr:spPr>
    </xdr:pic>
    <xdr:clientData/>
  </xdr:twoCellAnchor>
  <xdr:twoCellAnchor>
    <xdr:from>
      <xdr:col>13</xdr:col>
      <xdr:colOff>155862</xdr:colOff>
      <xdr:row>66</xdr:row>
      <xdr:rowOff>4762</xdr:rowOff>
    </xdr:from>
    <xdr:to>
      <xdr:col>14</xdr:col>
      <xdr:colOff>337709</xdr:colOff>
      <xdr:row>67</xdr:row>
      <xdr:rowOff>95250</xdr:rowOff>
    </xdr:to>
    <xdr:cxnSp macro="">
      <xdr:nvCxnSpPr>
        <xdr:cNvPr id="89" name="Straight Arrow Connector 88">
          <a:extLst>
            <a:ext uri="{FF2B5EF4-FFF2-40B4-BE49-F238E27FC236}">
              <a16:creationId xmlns:a16="http://schemas.microsoft.com/office/drawing/2014/main" id="{5C74C36F-C4FA-4D9F-A2CB-B30E3636D6FE}"/>
            </a:ext>
          </a:extLst>
        </xdr:cNvPr>
        <xdr:cNvCxnSpPr/>
      </xdr:nvCxnSpPr>
      <xdr:spPr>
        <a:xfrm flipV="1">
          <a:off x="8598477" y="10923877"/>
          <a:ext cx="831277" cy="25500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329046</xdr:colOff>
      <xdr:row>117</xdr:row>
      <xdr:rowOff>147205</xdr:rowOff>
    </xdr:from>
    <xdr:to>
      <xdr:col>16</xdr:col>
      <xdr:colOff>51788</xdr:colOff>
      <xdr:row>127</xdr:row>
      <xdr:rowOff>138545</xdr:rowOff>
    </xdr:to>
    <xdr:pic>
      <xdr:nvPicPr>
        <xdr:cNvPr id="92" name="Picture 91">
          <a:extLst>
            <a:ext uri="{FF2B5EF4-FFF2-40B4-BE49-F238E27FC236}">
              <a16:creationId xmlns:a16="http://schemas.microsoft.com/office/drawing/2014/main" id="{C18F9620-AA24-35A1-3DEC-7181DDA0A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6823364" y="19517592"/>
          <a:ext cx="3619333" cy="163656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3:N54"/>
  <sheetViews>
    <sheetView topLeftCell="A7" zoomScale="55" zoomScaleNormal="55" workbookViewId="0">
      <selection activeCell="F17" sqref="F17"/>
    </sheetView>
  </sheetViews>
  <sheetFormatPr defaultRowHeight="12.75" x14ac:dyDescent="0.35"/>
  <cols>
    <col min="1" max="1" width="10.1328125" bestFit="1" customWidth="1"/>
  </cols>
  <sheetData>
    <row r="3" spans="1:14" ht="13.15" x14ac:dyDescent="0.4">
      <c r="E3" s="1" t="s">
        <v>51</v>
      </c>
    </row>
    <row r="4" spans="1:14" ht="13.15" x14ac:dyDescent="0.4">
      <c r="E4" s="1" t="s">
        <v>49</v>
      </c>
    </row>
    <row r="5" spans="1:14" ht="13.15" x14ac:dyDescent="0.4">
      <c r="E5" s="1" t="s">
        <v>50</v>
      </c>
    </row>
    <row r="14" spans="1:14" x14ac:dyDescent="0.35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6</v>
      </c>
      <c r="H14" t="s">
        <v>7</v>
      </c>
      <c r="I14" t="s">
        <v>8</v>
      </c>
      <c r="J14" t="s">
        <v>9</v>
      </c>
      <c r="K14" t="s">
        <v>10</v>
      </c>
      <c r="L14" t="s">
        <v>11</v>
      </c>
      <c r="M14" t="s">
        <v>12</v>
      </c>
      <c r="N14" t="s">
        <v>13</v>
      </c>
    </row>
    <row r="15" spans="1:14" x14ac:dyDescent="0.35">
      <c r="A15" t="s">
        <v>14</v>
      </c>
      <c r="B15" s="24">
        <v>113</v>
      </c>
      <c r="C15" s="24">
        <v>173</v>
      </c>
      <c r="D15" s="24">
        <v>107</v>
      </c>
      <c r="E15" s="24">
        <v>196</v>
      </c>
      <c r="F15" s="24">
        <v>126</v>
      </c>
      <c r="G15" s="24">
        <v>116</v>
      </c>
      <c r="H15" s="24">
        <v>124</v>
      </c>
      <c r="I15" s="24">
        <v>188</v>
      </c>
      <c r="J15" s="24">
        <v>181</v>
      </c>
      <c r="K15" s="24">
        <v>189</v>
      </c>
      <c r="L15" s="24">
        <v>199</v>
      </c>
      <c r="M15" s="24">
        <v>181</v>
      </c>
      <c r="N15">
        <f t="shared" ref="N15:N24" si="0">SUM(B15:M15)</f>
        <v>1893</v>
      </c>
    </row>
    <row r="16" spans="1:14" x14ac:dyDescent="0.35">
      <c r="A16" t="s">
        <v>15</v>
      </c>
      <c r="B16" s="24">
        <v>199</v>
      </c>
      <c r="C16" s="24">
        <v>167</v>
      </c>
      <c r="D16" s="24">
        <v>191</v>
      </c>
      <c r="E16" s="24">
        <v>128</v>
      </c>
      <c r="F16" s="24">
        <v>159</v>
      </c>
      <c r="G16" s="24">
        <v>136</v>
      </c>
      <c r="H16" s="24">
        <v>127</v>
      </c>
      <c r="I16" s="24">
        <v>188</v>
      </c>
      <c r="J16" s="24">
        <v>101</v>
      </c>
      <c r="K16" s="24">
        <v>169</v>
      </c>
      <c r="L16" s="24">
        <v>123</v>
      </c>
      <c r="M16" s="24">
        <v>173</v>
      </c>
      <c r="N16">
        <f t="shared" si="0"/>
        <v>1861</v>
      </c>
    </row>
    <row r="17" spans="1:14" x14ac:dyDescent="0.35">
      <c r="A17" t="s">
        <v>16</v>
      </c>
      <c r="B17" s="24">
        <v>199</v>
      </c>
      <c r="C17" s="24">
        <v>162</v>
      </c>
      <c r="D17" s="24">
        <v>191</v>
      </c>
      <c r="E17" s="24">
        <v>174</v>
      </c>
      <c r="F17" s="24">
        <v>135</v>
      </c>
      <c r="G17" s="24">
        <v>133</v>
      </c>
      <c r="H17" s="24">
        <v>147</v>
      </c>
      <c r="I17" s="24">
        <v>168</v>
      </c>
      <c r="J17" s="24">
        <v>101</v>
      </c>
      <c r="K17" s="24">
        <v>108</v>
      </c>
      <c r="L17" s="24">
        <v>172</v>
      </c>
      <c r="M17" s="24">
        <v>133</v>
      </c>
      <c r="N17">
        <f t="shared" si="0"/>
        <v>1823</v>
      </c>
    </row>
    <row r="18" spans="1:14" x14ac:dyDescent="0.35">
      <c r="A18" s="2" t="s">
        <v>52</v>
      </c>
      <c r="B18" s="24">
        <v>199</v>
      </c>
      <c r="C18" s="24">
        <v>165</v>
      </c>
      <c r="D18" s="24">
        <v>191</v>
      </c>
      <c r="E18" s="24">
        <v>149</v>
      </c>
      <c r="F18" s="24">
        <v>194</v>
      </c>
      <c r="G18" s="24">
        <v>129</v>
      </c>
      <c r="H18" s="24">
        <v>119</v>
      </c>
      <c r="I18" s="24">
        <v>168</v>
      </c>
      <c r="J18" s="24">
        <v>119</v>
      </c>
      <c r="K18" s="24">
        <v>155</v>
      </c>
      <c r="L18" s="24">
        <v>183</v>
      </c>
      <c r="M18" s="24">
        <v>124</v>
      </c>
      <c r="N18">
        <f t="shared" si="0"/>
        <v>1895</v>
      </c>
    </row>
    <row r="19" spans="1:14" x14ac:dyDescent="0.35">
      <c r="A19" t="s">
        <v>17</v>
      </c>
      <c r="B19" s="24">
        <v>199</v>
      </c>
      <c r="C19" s="24">
        <v>199</v>
      </c>
      <c r="D19" s="24">
        <v>191</v>
      </c>
      <c r="E19" s="24">
        <v>123</v>
      </c>
      <c r="F19" s="24">
        <v>187</v>
      </c>
      <c r="G19" s="24">
        <v>157</v>
      </c>
      <c r="H19" s="24">
        <v>119</v>
      </c>
      <c r="I19" s="24">
        <v>168</v>
      </c>
      <c r="J19" s="24">
        <v>178</v>
      </c>
      <c r="K19" s="24">
        <v>132</v>
      </c>
      <c r="L19" s="24">
        <v>173</v>
      </c>
      <c r="M19" s="24">
        <v>136</v>
      </c>
      <c r="N19">
        <f t="shared" si="0"/>
        <v>1962</v>
      </c>
    </row>
    <row r="20" spans="1:14" x14ac:dyDescent="0.35">
      <c r="A20" t="s">
        <v>18</v>
      </c>
      <c r="B20" s="24">
        <v>199</v>
      </c>
      <c r="C20">
        <f>INT(B20*1.01)</f>
        <v>200</v>
      </c>
      <c r="D20" s="24">
        <v>191</v>
      </c>
      <c r="E20">
        <f t="shared" ref="E20:M20" si="1">INT(D20*1.01)</f>
        <v>192</v>
      </c>
      <c r="F20">
        <f t="shared" si="1"/>
        <v>193</v>
      </c>
      <c r="G20">
        <f t="shared" si="1"/>
        <v>194</v>
      </c>
      <c r="H20" s="24">
        <v>119</v>
      </c>
      <c r="I20" s="24">
        <v>168</v>
      </c>
      <c r="J20">
        <f t="shared" si="1"/>
        <v>169</v>
      </c>
      <c r="K20">
        <f>INT(J20*1.01)</f>
        <v>170</v>
      </c>
      <c r="L20">
        <f t="shared" si="1"/>
        <v>171</v>
      </c>
      <c r="M20">
        <f t="shared" si="1"/>
        <v>172</v>
      </c>
      <c r="N20">
        <f t="shared" si="0"/>
        <v>2138</v>
      </c>
    </row>
    <row r="21" spans="1:14" x14ac:dyDescent="0.35">
      <c r="A21" t="s">
        <v>19</v>
      </c>
      <c r="B21" s="24">
        <v>199</v>
      </c>
      <c r="C21" s="24">
        <v>108</v>
      </c>
      <c r="D21" s="24">
        <v>191</v>
      </c>
      <c r="E21" s="24">
        <v>152</v>
      </c>
      <c r="F21" s="24">
        <v>147</v>
      </c>
      <c r="G21" s="24">
        <v>160</v>
      </c>
      <c r="H21" s="24">
        <v>119</v>
      </c>
      <c r="I21" s="24">
        <v>168</v>
      </c>
      <c r="J21" s="24">
        <v>179</v>
      </c>
      <c r="K21" s="24">
        <v>170</v>
      </c>
      <c r="L21" s="24">
        <v>106</v>
      </c>
      <c r="M21" s="24">
        <v>199</v>
      </c>
      <c r="N21">
        <f t="shared" si="0"/>
        <v>1898</v>
      </c>
    </row>
    <row r="22" spans="1:14" x14ac:dyDescent="0.35">
      <c r="A22" t="s">
        <v>20</v>
      </c>
      <c r="B22" s="24">
        <v>199</v>
      </c>
      <c r="C22" s="24">
        <v>166</v>
      </c>
      <c r="D22" s="24">
        <v>191</v>
      </c>
      <c r="E22" s="24">
        <v>100</v>
      </c>
      <c r="F22" s="24">
        <v>118</v>
      </c>
      <c r="G22" s="24">
        <v>156</v>
      </c>
      <c r="H22" s="24">
        <v>119</v>
      </c>
      <c r="I22" s="24">
        <v>168</v>
      </c>
      <c r="J22" s="24">
        <v>101</v>
      </c>
      <c r="K22" s="24">
        <v>136</v>
      </c>
      <c r="L22" s="24">
        <v>152</v>
      </c>
      <c r="M22" s="24">
        <v>149</v>
      </c>
      <c r="N22">
        <f t="shared" si="0"/>
        <v>1755</v>
      </c>
    </row>
    <row r="23" spans="1:14" x14ac:dyDescent="0.35">
      <c r="A23" t="s">
        <v>21</v>
      </c>
      <c r="B23" s="24">
        <v>199</v>
      </c>
      <c r="C23" s="24">
        <v>119</v>
      </c>
      <c r="D23" s="24">
        <v>191</v>
      </c>
      <c r="E23" s="24">
        <v>187</v>
      </c>
      <c r="F23" s="24">
        <v>171</v>
      </c>
      <c r="G23" s="24">
        <v>156</v>
      </c>
      <c r="H23" s="24">
        <v>119</v>
      </c>
      <c r="I23" s="24">
        <v>168</v>
      </c>
      <c r="J23" s="24">
        <v>127</v>
      </c>
      <c r="K23" s="24">
        <v>154</v>
      </c>
      <c r="L23" s="24">
        <v>171</v>
      </c>
      <c r="M23" s="24">
        <v>141</v>
      </c>
      <c r="N23">
        <f t="shared" si="0"/>
        <v>1903</v>
      </c>
    </row>
    <row r="24" spans="1:14" x14ac:dyDescent="0.35">
      <c r="A24" t="s">
        <v>22</v>
      </c>
      <c r="B24" s="24">
        <v>199</v>
      </c>
      <c r="C24" s="24">
        <v>174</v>
      </c>
      <c r="D24" s="24">
        <v>191</v>
      </c>
      <c r="E24" s="24">
        <v>145</v>
      </c>
      <c r="F24" s="24">
        <v>145</v>
      </c>
      <c r="G24" s="24">
        <v>142</v>
      </c>
      <c r="H24" s="24">
        <v>119</v>
      </c>
      <c r="I24" s="24">
        <v>168</v>
      </c>
      <c r="J24" s="24">
        <v>195</v>
      </c>
      <c r="K24" s="24">
        <v>174</v>
      </c>
      <c r="L24" s="24">
        <v>100</v>
      </c>
      <c r="M24" s="24">
        <v>174</v>
      </c>
      <c r="N24">
        <f t="shared" si="0"/>
        <v>1926</v>
      </c>
    </row>
    <row r="26" spans="1:14" x14ac:dyDescent="0.35">
      <c r="A26" t="s">
        <v>23</v>
      </c>
      <c r="B26" s="24">
        <v>198</v>
      </c>
      <c r="C26" s="24">
        <v>178</v>
      </c>
      <c r="D26" s="24">
        <v>115</v>
      </c>
      <c r="E26" s="24">
        <v>161</v>
      </c>
      <c r="F26" s="24">
        <v>138</v>
      </c>
      <c r="G26" s="24">
        <v>112</v>
      </c>
      <c r="H26" s="24">
        <v>138</v>
      </c>
      <c r="I26" s="24">
        <v>148</v>
      </c>
      <c r="J26" s="24">
        <v>113</v>
      </c>
      <c r="K26" s="24">
        <v>167</v>
      </c>
      <c r="L26" s="24">
        <v>181</v>
      </c>
      <c r="M26" s="24">
        <v>179</v>
      </c>
      <c r="N26">
        <f t="shared" ref="N26:N35" si="2">SUM(B26:M26)</f>
        <v>1828</v>
      </c>
    </row>
    <row r="27" spans="1:14" x14ac:dyDescent="0.35">
      <c r="A27" t="s">
        <v>24</v>
      </c>
      <c r="B27" s="24">
        <v>130</v>
      </c>
      <c r="C27" s="24">
        <v>179</v>
      </c>
      <c r="D27" s="24">
        <v>133</v>
      </c>
      <c r="E27" s="24">
        <v>155</v>
      </c>
      <c r="F27" s="24">
        <v>132</v>
      </c>
      <c r="G27" s="24">
        <v>146</v>
      </c>
      <c r="H27" s="24">
        <v>152</v>
      </c>
      <c r="I27" s="24">
        <v>122</v>
      </c>
      <c r="J27" s="24">
        <v>172</v>
      </c>
      <c r="K27" s="24">
        <v>161</v>
      </c>
      <c r="L27" s="24">
        <v>183</v>
      </c>
      <c r="M27" s="24">
        <v>161</v>
      </c>
      <c r="N27">
        <f t="shared" si="2"/>
        <v>1826</v>
      </c>
    </row>
    <row r="28" spans="1:14" x14ac:dyDescent="0.35">
      <c r="A28" t="s">
        <v>25</v>
      </c>
      <c r="B28" s="24">
        <v>109</v>
      </c>
      <c r="C28" s="24">
        <v>194</v>
      </c>
      <c r="D28" s="24">
        <v>125</v>
      </c>
      <c r="E28" s="24">
        <v>194</v>
      </c>
      <c r="F28" s="24">
        <v>187</v>
      </c>
      <c r="G28" s="24">
        <v>137</v>
      </c>
      <c r="H28" s="24">
        <v>179</v>
      </c>
      <c r="I28" s="24">
        <v>163</v>
      </c>
      <c r="J28" s="24">
        <v>138</v>
      </c>
      <c r="K28" s="24">
        <v>143</v>
      </c>
      <c r="L28" s="24">
        <v>137</v>
      </c>
      <c r="M28" s="24">
        <v>161</v>
      </c>
      <c r="N28">
        <f t="shared" si="2"/>
        <v>1867</v>
      </c>
    </row>
    <row r="29" spans="1:14" x14ac:dyDescent="0.35">
      <c r="A29" t="s">
        <v>26</v>
      </c>
      <c r="B29" s="24">
        <v>119</v>
      </c>
      <c r="C29" s="24">
        <v>158</v>
      </c>
      <c r="D29" s="24">
        <v>163</v>
      </c>
      <c r="E29" s="24">
        <v>147</v>
      </c>
      <c r="F29" s="24">
        <v>115</v>
      </c>
      <c r="G29" s="24">
        <v>134</v>
      </c>
      <c r="H29" s="24">
        <v>162</v>
      </c>
      <c r="I29" s="24">
        <v>113</v>
      </c>
      <c r="J29" s="24">
        <v>183</v>
      </c>
      <c r="K29" s="24">
        <v>164</v>
      </c>
      <c r="L29" s="24">
        <v>142</v>
      </c>
      <c r="M29" s="24">
        <v>135</v>
      </c>
      <c r="N29">
        <f t="shared" si="2"/>
        <v>1735</v>
      </c>
    </row>
    <row r="30" spans="1:14" x14ac:dyDescent="0.35">
      <c r="A30" t="s">
        <v>27</v>
      </c>
      <c r="B30" s="24">
        <v>145</v>
      </c>
      <c r="C30" s="24">
        <v>121</v>
      </c>
      <c r="D30" s="24">
        <v>168</v>
      </c>
      <c r="E30" s="24">
        <v>127</v>
      </c>
      <c r="F30" s="24">
        <v>120</v>
      </c>
      <c r="G30" s="24">
        <v>196</v>
      </c>
      <c r="H30" s="24">
        <v>106</v>
      </c>
      <c r="I30" s="24">
        <v>145</v>
      </c>
      <c r="J30" s="24">
        <v>136</v>
      </c>
      <c r="K30" s="24">
        <v>152</v>
      </c>
      <c r="L30" s="24">
        <v>112</v>
      </c>
      <c r="M30" s="24">
        <v>128</v>
      </c>
      <c r="N30">
        <f t="shared" si="2"/>
        <v>1656</v>
      </c>
    </row>
    <row r="31" spans="1:14" x14ac:dyDescent="0.35">
      <c r="A31" t="s">
        <v>28</v>
      </c>
      <c r="B31" s="24">
        <v>155</v>
      </c>
      <c r="C31" s="24">
        <v>103</v>
      </c>
      <c r="D31" s="24">
        <v>199</v>
      </c>
      <c r="E31" s="24">
        <v>110</v>
      </c>
      <c r="F31" s="24">
        <v>170</v>
      </c>
      <c r="G31" s="24">
        <v>192</v>
      </c>
      <c r="H31" s="24">
        <v>101</v>
      </c>
      <c r="I31" s="24">
        <v>129</v>
      </c>
      <c r="J31" s="24">
        <v>156</v>
      </c>
      <c r="K31" s="24">
        <v>101</v>
      </c>
      <c r="L31" s="24">
        <v>150</v>
      </c>
      <c r="M31" s="24">
        <v>103</v>
      </c>
      <c r="N31">
        <f t="shared" si="2"/>
        <v>1669</v>
      </c>
    </row>
    <row r="32" spans="1:14" x14ac:dyDescent="0.35">
      <c r="A32" t="s">
        <v>29</v>
      </c>
      <c r="B32" s="24">
        <v>168</v>
      </c>
      <c r="C32" s="24">
        <v>125</v>
      </c>
      <c r="D32" s="24">
        <v>197</v>
      </c>
      <c r="E32" s="24">
        <v>159</v>
      </c>
      <c r="F32" s="24">
        <v>194</v>
      </c>
      <c r="G32" s="24">
        <v>144</v>
      </c>
      <c r="H32" s="24">
        <v>131</v>
      </c>
      <c r="I32" s="24">
        <v>109</v>
      </c>
      <c r="J32" s="24">
        <v>136</v>
      </c>
      <c r="K32" s="24">
        <v>103</v>
      </c>
      <c r="L32" s="24">
        <v>107</v>
      </c>
      <c r="M32" s="24">
        <v>179</v>
      </c>
      <c r="N32">
        <f t="shared" si="2"/>
        <v>1752</v>
      </c>
    </row>
    <row r="33" spans="1:14" x14ac:dyDescent="0.35">
      <c r="A33" t="s">
        <v>30</v>
      </c>
      <c r="B33" s="24">
        <v>182</v>
      </c>
      <c r="C33" s="24">
        <v>162</v>
      </c>
      <c r="D33" s="24">
        <v>174</v>
      </c>
      <c r="E33" s="24">
        <v>179</v>
      </c>
      <c r="F33" s="24">
        <v>118</v>
      </c>
      <c r="G33" s="24">
        <v>140</v>
      </c>
      <c r="H33" s="24">
        <v>183</v>
      </c>
      <c r="I33" s="24">
        <v>168</v>
      </c>
      <c r="J33" s="24">
        <v>144</v>
      </c>
      <c r="K33" s="24">
        <v>188</v>
      </c>
      <c r="L33" s="24">
        <v>181</v>
      </c>
      <c r="M33" s="24">
        <v>168</v>
      </c>
      <c r="N33">
        <f t="shared" si="2"/>
        <v>1987</v>
      </c>
    </row>
    <row r="34" spans="1:14" x14ac:dyDescent="0.35">
      <c r="A34" t="s">
        <v>31</v>
      </c>
      <c r="B34" s="24">
        <v>105</v>
      </c>
      <c r="C34" s="24">
        <v>162</v>
      </c>
      <c r="D34" s="24">
        <v>129</v>
      </c>
      <c r="E34" s="24">
        <v>163</v>
      </c>
      <c r="F34" s="24">
        <v>111</v>
      </c>
      <c r="G34" s="24">
        <v>153</v>
      </c>
      <c r="H34" s="24">
        <v>194</v>
      </c>
      <c r="I34" s="24">
        <v>161</v>
      </c>
      <c r="J34" s="24">
        <v>123</v>
      </c>
      <c r="K34" s="24">
        <v>159</v>
      </c>
      <c r="L34" s="24">
        <v>196</v>
      </c>
      <c r="M34" s="24">
        <v>150</v>
      </c>
      <c r="N34">
        <f t="shared" si="2"/>
        <v>1806</v>
      </c>
    </row>
    <row r="35" spans="1:14" x14ac:dyDescent="0.35">
      <c r="A35" t="s">
        <v>32</v>
      </c>
      <c r="B35" s="24">
        <v>137</v>
      </c>
      <c r="C35" s="24">
        <v>124</v>
      </c>
      <c r="D35" s="24">
        <v>107</v>
      </c>
      <c r="E35" s="24">
        <v>172</v>
      </c>
      <c r="F35" s="24">
        <v>114</v>
      </c>
      <c r="G35" s="24">
        <v>196</v>
      </c>
      <c r="H35" s="24">
        <v>142</v>
      </c>
      <c r="I35" s="24">
        <v>187</v>
      </c>
      <c r="J35" s="24">
        <v>101</v>
      </c>
      <c r="K35" s="24">
        <v>122</v>
      </c>
      <c r="L35" s="24">
        <v>183</v>
      </c>
      <c r="M35" s="24">
        <v>104</v>
      </c>
      <c r="N35">
        <f t="shared" si="2"/>
        <v>1689</v>
      </c>
    </row>
    <row r="37" spans="1:14" x14ac:dyDescent="0.35">
      <c r="A37" t="s">
        <v>33</v>
      </c>
      <c r="B37" s="24">
        <v>120</v>
      </c>
      <c r="C37" s="24">
        <v>131</v>
      </c>
      <c r="D37" s="24">
        <v>139</v>
      </c>
      <c r="E37" s="24">
        <v>147</v>
      </c>
      <c r="F37" s="24">
        <v>152</v>
      </c>
      <c r="G37" s="24">
        <v>177</v>
      </c>
      <c r="H37" s="24">
        <v>173</v>
      </c>
      <c r="I37" s="24">
        <v>153</v>
      </c>
      <c r="J37" s="24">
        <v>179</v>
      </c>
      <c r="K37" s="24">
        <v>183</v>
      </c>
      <c r="L37" s="24">
        <v>156</v>
      </c>
      <c r="M37" s="24">
        <v>158</v>
      </c>
      <c r="N37">
        <f t="shared" ref="N37:N46" si="3">SUM(B37:M37)</f>
        <v>1868</v>
      </c>
    </row>
    <row r="38" spans="1:14" x14ac:dyDescent="0.35">
      <c r="A38" t="s">
        <v>34</v>
      </c>
      <c r="B38" s="24">
        <v>133</v>
      </c>
      <c r="C38" s="24">
        <v>130</v>
      </c>
      <c r="D38" s="24">
        <v>107</v>
      </c>
      <c r="E38" s="24">
        <v>122</v>
      </c>
      <c r="F38" s="24">
        <v>126</v>
      </c>
      <c r="G38" s="24">
        <v>192</v>
      </c>
      <c r="H38" s="24">
        <v>171</v>
      </c>
      <c r="I38" s="24">
        <v>191</v>
      </c>
      <c r="J38" s="24">
        <v>116</v>
      </c>
      <c r="K38" s="24">
        <v>125</v>
      </c>
      <c r="L38" s="24">
        <v>167</v>
      </c>
      <c r="M38" s="24">
        <v>144</v>
      </c>
      <c r="N38">
        <f t="shared" si="3"/>
        <v>1724</v>
      </c>
    </row>
    <row r="39" spans="1:14" x14ac:dyDescent="0.35">
      <c r="A39" t="s">
        <v>35</v>
      </c>
      <c r="B39" s="24">
        <v>129</v>
      </c>
      <c r="C39" s="24">
        <v>194</v>
      </c>
      <c r="D39" s="24">
        <v>109</v>
      </c>
      <c r="E39" s="24">
        <v>182</v>
      </c>
      <c r="F39" s="24">
        <v>194</v>
      </c>
      <c r="G39" s="24">
        <v>147</v>
      </c>
      <c r="H39" s="24">
        <v>137</v>
      </c>
      <c r="I39" s="24">
        <v>140</v>
      </c>
      <c r="J39" s="24">
        <v>151</v>
      </c>
      <c r="K39" s="24">
        <v>167</v>
      </c>
      <c r="L39" s="24">
        <v>186</v>
      </c>
      <c r="M39" s="24">
        <v>183</v>
      </c>
      <c r="N39">
        <f t="shared" si="3"/>
        <v>1919</v>
      </c>
    </row>
    <row r="40" spans="1:14" x14ac:dyDescent="0.35">
      <c r="A40" t="s">
        <v>36</v>
      </c>
      <c r="B40" s="24">
        <v>127</v>
      </c>
      <c r="C40" s="24">
        <v>188</v>
      </c>
      <c r="D40" s="24">
        <v>143</v>
      </c>
      <c r="E40" s="24">
        <v>165</v>
      </c>
      <c r="F40" s="24">
        <v>144</v>
      </c>
      <c r="G40" s="24">
        <v>147</v>
      </c>
      <c r="H40" s="24">
        <v>166</v>
      </c>
      <c r="I40" s="24">
        <v>102</v>
      </c>
      <c r="J40" s="24">
        <v>196</v>
      </c>
      <c r="K40" s="24">
        <v>158</v>
      </c>
      <c r="L40" s="24">
        <v>148</v>
      </c>
      <c r="M40" s="24">
        <v>147</v>
      </c>
      <c r="N40">
        <f t="shared" si="3"/>
        <v>1831</v>
      </c>
    </row>
    <row r="41" spans="1:14" x14ac:dyDescent="0.35">
      <c r="A41" t="s">
        <v>37</v>
      </c>
      <c r="B41" s="24">
        <v>168</v>
      </c>
      <c r="C41" s="24">
        <v>135</v>
      </c>
      <c r="D41" s="24">
        <v>131</v>
      </c>
      <c r="E41" s="24">
        <v>152</v>
      </c>
      <c r="F41" s="24">
        <v>107</v>
      </c>
      <c r="G41" s="24">
        <v>188</v>
      </c>
      <c r="H41" s="24">
        <v>136</v>
      </c>
      <c r="I41" s="24">
        <v>189</v>
      </c>
      <c r="J41" s="24">
        <v>146</v>
      </c>
      <c r="K41" s="24">
        <v>190</v>
      </c>
      <c r="L41" s="24">
        <v>179</v>
      </c>
      <c r="M41" s="24">
        <v>181</v>
      </c>
      <c r="N41">
        <f t="shared" si="3"/>
        <v>1902</v>
      </c>
    </row>
    <row r="42" spans="1:14" x14ac:dyDescent="0.35">
      <c r="A42" t="s">
        <v>38</v>
      </c>
      <c r="B42" s="24">
        <v>118</v>
      </c>
      <c r="C42" s="24">
        <v>189</v>
      </c>
      <c r="D42" s="24">
        <v>195</v>
      </c>
      <c r="E42" s="24">
        <v>112</v>
      </c>
      <c r="F42" s="24">
        <v>114</v>
      </c>
      <c r="G42" s="24">
        <v>104</v>
      </c>
      <c r="H42" s="24">
        <v>136</v>
      </c>
      <c r="I42" s="24">
        <v>178</v>
      </c>
      <c r="J42" s="24">
        <v>195</v>
      </c>
      <c r="K42" s="24">
        <v>119</v>
      </c>
      <c r="L42" s="24">
        <v>113</v>
      </c>
      <c r="M42" s="24">
        <v>182</v>
      </c>
      <c r="N42">
        <f t="shared" si="3"/>
        <v>1755</v>
      </c>
    </row>
    <row r="43" spans="1:14" x14ac:dyDescent="0.35">
      <c r="A43" t="s">
        <v>39</v>
      </c>
      <c r="B43" s="24">
        <v>163</v>
      </c>
      <c r="C43" s="24">
        <v>153</v>
      </c>
      <c r="D43" s="24">
        <v>178</v>
      </c>
      <c r="E43" s="24">
        <v>136</v>
      </c>
      <c r="F43" s="24">
        <v>170</v>
      </c>
      <c r="G43" s="24">
        <v>180</v>
      </c>
      <c r="H43" s="24">
        <v>123</v>
      </c>
      <c r="I43" s="24">
        <v>123</v>
      </c>
      <c r="J43" s="24">
        <v>170</v>
      </c>
      <c r="K43" s="24">
        <v>149</v>
      </c>
      <c r="L43" s="24">
        <v>100</v>
      </c>
      <c r="M43" s="24">
        <v>160</v>
      </c>
      <c r="N43">
        <f t="shared" si="3"/>
        <v>1805</v>
      </c>
    </row>
    <row r="44" spans="1:14" x14ac:dyDescent="0.35">
      <c r="A44" t="s">
        <v>40</v>
      </c>
      <c r="B44" s="24">
        <v>153</v>
      </c>
      <c r="C44" s="24">
        <v>160</v>
      </c>
      <c r="D44" s="24">
        <v>105</v>
      </c>
      <c r="E44" s="24">
        <v>111</v>
      </c>
      <c r="F44" s="24">
        <v>160</v>
      </c>
      <c r="G44" s="24">
        <v>130</v>
      </c>
      <c r="H44" s="24">
        <v>122</v>
      </c>
      <c r="I44" s="24">
        <v>100</v>
      </c>
      <c r="J44" s="24">
        <v>149</v>
      </c>
      <c r="K44" s="24">
        <v>142</v>
      </c>
      <c r="L44" s="24">
        <v>125</v>
      </c>
      <c r="M44" s="24">
        <v>196</v>
      </c>
      <c r="N44">
        <f t="shared" si="3"/>
        <v>1653</v>
      </c>
    </row>
    <row r="45" spans="1:14" x14ac:dyDescent="0.35">
      <c r="A45" t="s">
        <v>41</v>
      </c>
      <c r="B45" s="24">
        <v>131</v>
      </c>
      <c r="C45" s="24">
        <v>171</v>
      </c>
      <c r="D45" s="24">
        <v>184</v>
      </c>
      <c r="E45" s="24">
        <v>146</v>
      </c>
      <c r="F45" s="24">
        <v>177</v>
      </c>
      <c r="G45" s="24">
        <v>182</v>
      </c>
      <c r="H45" s="24">
        <v>168</v>
      </c>
      <c r="I45" s="24">
        <v>163</v>
      </c>
      <c r="J45" s="24">
        <v>103</v>
      </c>
      <c r="K45" s="24">
        <v>120</v>
      </c>
      <c r="L45" s="24">
        <v>184</v>
      </c>
      <c r="M45" s="24">
        <v>191</v>
      </c>
      <c r="N45">
        <f t="shared" si="3"/>
        <v>1920</v>
      </c>
    </row>
    <row r="46" spans="1:14" x14ac:dyDescent="0.35">
      <c r="A46" t="s">
        <v>42</v>
      </c>
      <c r="B46" s="24">
        <v>109</v>
      </c>
      <c r="C46" s="24">
        <v>186</v>
      </c>
      <c r="D46" s="24">
        <v>191</v>
      </c>
      <c r="E46" s="24">
        <v>134</v>
      </c>
      <c r="F46" s="24">
        <v>177</v>
      </c>
      <c r="G46" s="24">
        <v>183</v>
      </c>
      <c r="H46" s="24">
        <v>134</v>
      </c>
      <c r="I46" s="24">
        <v>121</v>
      </c>
      <c r="J46" s="24">
        <v>126</v>
      </c>
      <c r="K46" s="24">
        <v>171</v>
      </c>
      <c r="L46" s="24">
        <v>117</v>
      </c>
      <c r="M46" s="24">
        <v>195</v>
      </c>
      <c r="N46">
        <f t="shared" si="3"/>
        <v>1844</v>
      </c>
    </row>
    <row r="48" spans="1:14" x14ac:dyDescent="0.35">
      <c r="A48" t="s">
        <v>43</v>
      </c>
      <c r="B48" s="24">
        <v>169</v>
      </c>
      <c r="C48" s="24">
        <v>112</v>
      </c>
      <c r="D48" s="24">
        <v>153</v>
      </c>
      <c r="E48" s="24">
        <v>121</v>
      </c>
      <c r="F48" s="24">
        <v>107</v>
      </c>
      <c r="G48" s="24">
        <v>100</v>
      </c>
      <c r="H48" s="24">
        <v>106</v>
      </c>
      <c r="I48" s="24">
        <v>147</v>
      </c>
      <c r="J48" s="24">
        <v>141</v>
      </c>
      <c r="K48" s="24">
        <v>159</v>
      </c>
      <c r="L48" s="24">
        <v>168</v>
      </c>
      <c r="M48" s="24">
        <v>150</v>
      </c>
      <c r="N48">
        <f t="shared" ref="N48:N54" si="4">SUM(B48:M48)</f>
        <v>1633</v>
      </c>
    </row>
    <row r="49" spans="1:14" x14ac:dyDescent="0.35">
      <c r="A49" t="s">
        <v>44</v>
      </c>
      <c r="B49" s="24">
        <v>134</v>
      </c>
      <c r="C49" s="24">
        <v>187</v>
      </c>
      <c r="D49" s="24">
        <v>186</v>
      </c>
      <c r="E49" s="24">
        <v>146</v>
      </c>
      <c r="F49" s="24">
        <v>104</v>
      </c>
      <c r="G49" s="24">
        <v>178</v>
      </c>
      <c r="H49" s="24">
        <v>148</v>
      </c>
      <c r="I49" s="24">
        <v>118</v>
      </c>
      <c r="J49" s="24">
        <v>155</v>
      </c>
      <c r="K49" s="24">
        <v>153</v>
      </c>
      <c r="L49" s="24">
        <v>192</v>
      </c>
      <c r="M49" s="24">
        <v>107</v>
      </c>
      <c r="N49">
        <f t="shared" si="4"/>
        <v>1808</v>
      </c>
    </row>
    <row r="50" spans="1:14" x14ac:dyDescent="0.35">
      <c r="A50" t="s">
        <v>45</v>
      </c>
      <c r="B50" s="24">
        <v>167</v>
      </c>
      <c r="C50" s="24">
        <v>183</v>
      </c>
      <c r="D50" s="24">
        <v>110</v>
      </c>
      <c r="E50" s="24">
        <v>188</v>
      </c>
      <c r="F50" s="24">
        <v>145</v>
      </c>
      <c r="G50" s="24">
        <v>101</v>
      </c>
      <c r="H50" s="24">
        <v>158</v>
      </c>
      <c r="I50" s="24">
        <v>193</v>
      </c>
      <c r="J50" s="24">
        <v>151</v>
      </c>
      <c r="K50" s="24">
        <v>194</v>
      </c>
      <c r="L50" s="24">
        <v>123</v>
      </c>
      <c r="M50" s="24">
        <v>128</v>
      </c>
      <c r="N50">
        <f t="shared" si="4"/>
        <v>1841</v>
      </c>
    </row>
    <row r="51" spans="1:14" x14ac:dyDescent="0.35">
      <c r="A51" t="s">
        <v>46</v>
      </c>
      <c r="B51" s="24">
        <v>186</v>
      </c>
      <c r="C51" s="24">
        <v>125</v>
      </c>
      <c r="D51" s="24">
        <v>146</v>
      </c>
      <c r="E51" s="24">
        <v>172</v>
      </c>
      <c r="F51" s="24">
        <v>112</v>
      </c>
      <c r="G51" s="24">
        <v>103</v>
      </c>
      <c r="H51" s="24">
        <v>130</v>
      </c>
      <c r="I51" s="24">
        <v>121</v>
      </c>
      <c r="J51" s="24">
        <v>175</v>
      </c>
      <c r="K51" s="24">
        <v>155</v>
      </c>
      <c r="L51" s="24">
        <v>109</v>
      </c>
      <c r="M51" s="24">
        <v>136</v>
      </c>
      <c r="N51">
        <f t="shared" si="4"/>
        <v>1670</v>
      </c>
    </row>
    <row r="52" spans="1:14" x14ac:dyDescent="0.35">
      <c r="A52" t="s">
        <v>47</v>
      </c>
      <c r="B52" s="24">
        <v>144</v>
      </c>
      <c r="C52" s="24">
        <v>108</v>
      </c>
      <c r="D52" s="24">
        <v>163</v>
      </c>
      <c r="E52" s="24">
        <v>176</v>
      </c>
      <c r="F52" s="24">
        <v>182</v>
      </c>
      <c r="G52" s="24">
        <v>162</v>
      </c>
      <c r="H52" s="24">
        <v>144</v>
      </c>
      <c r="I52" s="24">
        <v>105</v>
      </c>
      <c r="J52" s="24">
        <v>192</v>
      </c>
      <c r="K52" s="24">
        <v>157</v>
      </c>
      <c r="L52" s="24">
        <v>179</v>
      </c>
      <c r="M52" s="24">
        <v>102</v>
      </c>
      <c r="N52">
        <f t="shared" si="4"/>
        <v>1814</v>
      </c>
    </row>
    <row r="53" spans="1:14" x14ac:dyDescent="0.35">
      <c r="A53" t="s">
        <v>48</v>
      </c>
      <c r="B53" s="24">
        <v>106</v>
      </c>
      <c r="C53" s="24">
        <v>194</v>
      </c>
      <c r="D53" s="24">
        <v>181</v>
      </c>
      <c r="E53" s="24">
        <v>113</v>
      </c>
      <c r="F53" s="24">
        <v>184</v>
      </c>
      <c r="G53" s="24">
        <v>107</v>
      </c>
      <c r="H53" s="24">
        <v>124</v>
      </c>
      <c r="I53" s="24">
        <v>150</v>
      </c>
      <c r="J53" s="24">
        <v>177</v>
      </c>
      <c r="K53" s="24">
        <v>105</v>
      </c>
      <c r="L53" s="24">
        <v>103</v>
      </c>
      <c r="M53" s="24">
        <v>121</v>
      </c>
      <c r="N53">
        <f t="shared" si="4"/>
        <v>1665</v>
      </c>
    </row>
    <row r="54" spans="1:14" x14ac:dyDescent="0.35">
      <c r="B54">
        <f t="shared" ref="B54:M54" si="5">SUM(B15:B53)</f>
        <v>5609</v>
      </c>
      <c r="C54">
        <f t="shared" si="5"/>
        <v>5685</v>
      </c>
      <c r="D54">
        <f t="shared" si="5"/>
        <v>5757</v>
      </c>
      <c r="E54">
        <f t="shared" si="5"/>
        <v>5436</v>
      </c>
      <c r="F54">
        <f t="shared" si="5"/>
        <v>5329</v>
      </c>
      <c r="G54">
        <f t="shared" si="5"/>
        <v>5410</v>
      </c>
      <c r="H54">
        <f t="shared" si="5"/>
        <v>4995</v>
      </c>
      <c r="I54">
        <f t="shared" si="5"/>
        <v>5459</v>
      </c>
      <c r="J54">
        <f t="shared" si="5"/>
        <v>5375</v>
      </c>
      <c r="K54">
        <f t="shared" si="5"/>
        <v>5464</v>
      </c>
      <c r="L54">
        <f t="shared" si="5"/>
        <v>5471</v>
      </c>
      <c r="M54">
        <f t="shared" si="5"/>
        <v>5531</v>
      </c>
      <c r="N54">
        <f t="shared" si="4"/>
        <v>65521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CellsCollection">
                <anchor moveWithCells="1" sizeWithCells="1">
                  <from>
                    <xdr:col>1</xdr:col>
                    <xdr:colOff>9525</xdr:colOff>
                    <xdr:row>0</xdr:row>
                    <xdr:rowOff>152400</xdr:rowOff>
                  </from>
                  <to>
                    <xdr:col>3</xdr:col>
                    <xdr:colOff>190500</xdr:colOff>
                    <xdr:row>4</xdr:row>
                    <xdr:rowOff>119063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5FF23-C1B9-4D77-BE36-B641BFC62B5F}">
  <sheetPr codeName="Sheet3"/>
  <dimension ref="C30:R128"/>
  <sheetViews>
    <sheetView topLeftCell="A31" zoomScale="55" zoomScaleNormal="55" workbookViewId="0">
      <selection activeCell="E69" sqref="E69"/>
    </sheetView>
  </sheetViews>
  <sheetFormatPr defaultRowHeight="12.75" x14ac:dyDescent="0.35"/>
  <cols>
    <col min="1" max="4" width="9.06640625" style="3"/>
    <col min="5" max="5" width="9.06640625" style="3" customWidth="1"/>
    <col min="6" max="16384" width="9.06640625" style="3"/>
  </cols>
  <sheetData>
    <row r="30" spans="4:18" ht="13.15" thickBot="1" x14ac:dyDescent="0.4"/>
    <row r="31" spans="4:18" ht="13.15" x14ac:dyDescent="0.4">
      <c r="D31" s="22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0"/>
    </row>
    <row r="32" spans="4:18" ht="13.15" x14ac:dyDescent="0.4">
      <c r="D32" s="16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4"/>
    </row>
    <row r="33" spans="4:18" ht="13.15" x14ac:dyDescent="0.4"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4"/>
    </row>
    <row r="34" spans="4:18" ht="13.15" x14ac:dyDescent="0.4">
      <c r="D34" s="16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4"/>
    </row>
    <row r="35" spans="4:18" ht="13.15" x14ac:dyDescent="0.4">
      <c r="D35" s="16"/>
      <c r="F35" s="15"/>
      <c r="G35" s="15"/>
      <c r="H35" s="15"/>
      <c r="I35" s="15"/>
      <c r="J35" s="15"/>
      <c r="K35" s="15"/>
      <c r="L35" s="15"/>
      <c r="N35" s="15"/>
      <c r="O35" s="15"/>
      <c r="P35" s="15"/>
      <c r="Q35" s="15"/>
      <c r="R35" s="14"/>
    </row>
    <row r="36" spans="4:18" ht="13.15" x14ac:dyDescent="0.4">
      <c r="D36" s="16"/>
      <c r="E36" s="15"/>
      <c r="F36" s="15"/>
      <c r="G36" s="15"/>
      <c r="H36" s="19" t="s">
        <v>60</v>
      </c>
      <c r="I36" s="15"/>
      <c r="J36" s="15"/>
      <c r="K36" s="15"/>
      <c r="L36" s="15"/>
      <c r="M36" s="15"/>
      <c r="N36" s="15"/>
      <c r="O36" s="15"/>
      <c r="P36" s="15"/>
      <c r="Q36" s="15"/>
      <c r="R36" s="14"/>
    </row>
    <row r="37" spans="4:18" ht="13.15" x14ac:dyDescent="0.4">
      <c r="D37" s="16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4"/>
    </row>
    <row r="38" spans="4:18" ht="13.15" x14ac:dyDescent="0.4">
      <c r="D38" s="16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4"/>
    </row>
    <row r="39" spans="4:18" ht="13.15" x14ac:dyDescent="0.4"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4"/>
    </row>
    <row r="40" spans="4:18" ht="13.15" x14ac:dyDescent="0.4">
      <c r="D40" s="16"/>
      <c r="F40" s="15"/>
      <c r="G40" s="15"/>
      <c r="H40" s="19" t="s">
        <v>59</v>
      </c>
      <c r="I40" s="15"/>
      <c r="J40" s="15"/>
      <c r="K40" s="15"/>
      <c r="L40" s="15"/>
      <c r="M40" s="15"/>
      <c r="N40" s="15"/>
      <c r="O40" s="15"/>
      <c r="P40" s="15"/>
      <c r="Q40" s="15"/>
      <c r="R40" s="14"/>
    </row>
    <row r="41" spans="4:18" ht="13.15" x14ac:dyDescent="0.4"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4"/>
    </row>
    <row r="42" spans="4:18" ht="13.15" x14ac:dyDescent="0.4">
      <c r="D42" s="16"/>
      <c r="E42" s="18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4"/>
    </row>
    <row r="43" spans="4:18" ht="13.15" x14ac:dyDescent="0.4">
      <c r="D43" s="16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4"/>
    </row>
    <row r="44" spans="4:18" ht="13.15" x14ac:dyDescent="0.4">
      <c r="D44" s="16"/>
      <c r="E44" s="18" t="s">
        <v>58</v>
      </c>
      <c r="F44" s="15"/>
      <c r="G44" s="15"/>
      <c r="H44" s="19" t="s">
        <v>57</v>
      </c>
      <c r="I44" s="15"/>
      <c r="J44" s="15"/>
      <c r="K44" s="15"/>
      <c r="L44" s="15"/>
      <c r="M44" s="15"/>
      <c r="N44" s="15"/>
      <c r="O44" s="15"/>
      <c r="P44" s="15"/>
      <c r="Q44" s="15"/>
      <c r="R44" s="14"/>
    </row>
    <row r="45" spans="4:18" ht="13.15" x14ac:dyDescent="0.4">
      <c r="D45" s="16"/>
      <c r="E45" s="15"/>
      <c r="F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4"/>
    </row>
    <row r="46" spans="4:18" ht="13.15" x14ac:dyDescent="0.4">
      <c r="D46" s="16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4"/>
    </row>
    <row r="47" spans="4:18" ht="13.15" x14ac:dyDescent="0.4">
      <c r="D47" s="16"/>
      <c r="E47" s="18" t="s">
        <v>56</v>
      </c>
      <c r="F47" s="15"/>
      <c r="G47" s="15"/>
      <c r="H47" s="15"/>
      <c r="I47" s="15"/>
      <c r="J47" s="15"/>
      <c r="K47" s="15"/>
      <c r="L47" s="15"/>
      <c r="M47" s="15"/>
      <c r="N47" s="15"/>
      <c r="O47" s="17" t="s">
        <v>55</v>
      </c>
      <c r="P47" s="15"/>
      <c r="Q47" s="15"/>
      <c r="R47" s="14"/>
    </row>
    <row r="48" spans="4:18" ht="13.15" x14ac:dyDescent="0.4">
      <c r="D48" s="16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4"/>
    </row>
    <row r="49" spans="4:18" ht="13.15" x14ac:dyDescent="0.4">
      <c r="D49" s="16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4"/>
    </row>
    <row r="50" spans="4:18" ht="13.15" x14ac:dyDescent="0.4">
      <c r="D50" s="16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4"/>
    </row>
    <row r="51" spans="4:18" ht="18" thickBot="1" x14ac:dyDescent="0.55000000000000004">
      <c r="D51" s="6" t="s">
        <v>54</v>
      </c>
      <c r="E51" s="13"/>
      <c r="F51" s="13"/>
      <c r="G51" s="13"/>
      <c r="H51" s="13"/>
      <c r="I51" s="5"/>
      <c r="J51" s="13"/>
      <c r="K51" s="13"/>
      <c r="L51" s="13"/>
      <c r="M51" s="13"/>
      <c r="N51" s="13"/>
      <c r="O51" s="13"/>
      <c r="P51" s="13"/>
      <c r="Q51" s="13"/>
      <c r="R51" s="12"/>
    </row>
    <row r="56" spans="4:18" ht="13.15" thickBot="1" x14ac:dyDescent="0.4"/>
    <row r="57" spans="4:18" x14ac:dyDescent="0.35">
      <c r="D57" s="11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9"/>
    </row>
    <row r="58" spans="4:18" x14ac:dyDescent="0.35">
      <c r="D58" s="8"/>
      <c r="R58" s="7"/>
    </row>
    <row r="59" spans="4:18" x14ac:dyDescent="0.35">
      <c r="D59" s="8"/>
      <c r="R59" s="7"/>
    </row>
    <row r="60" spans="4:18" x14ac:dyDescent="0.35">
      <c r="D60" s="8"/>
      <c r="R60" s="7"/>
    </row>
    <row r="61" spans="4:18" x14ac:dyDescent="0.35">
      <c r="D61" s="8"/>
      <c r="R61" s="7"/>
    </row>
    <row r="62" spans="4:18" x14ac:dyDescent="0.35">
      <c r="D62" s="8"/>
      <c r="R62" s="7"/>
    </row>
    <row r="63" spans="4:18" x14ac:dyDescent="0.35">
      <c r="D63" s="8"/>
      <c r="R63" s="7"/>
    </row>
    <row r="64" spans="4:18" x14ac:dyDescent="0.35">
      <c r="D64" s="8"/>
      <c r="R64" s="7"/>
    </row>
    <row r="65" spans="4:18" x14ac:dyDescent="0.35">
      <c r="D65" s="8"/>
      <c r="R65" s="7"/>
    </row>
    <row r="66" spans="4:18" x14ac:dyDescent="0.35">
      <c r="D66" s="8"/>
      <c r="R66" s="7"/>
    </row>
    <row r="67" spans="4:18" x14ac:dyDescent="0.35">
      <c r="D67" s="8"/>
      <c r="R67" s="7"/>
    </row>
    <row r="68" spans="4:18" x14ac:dyDescent="0.35">
      <c r="D68" s="8"/>
      <c r="R68" s="7"/>
    </row>
    <row r="69" spans="4:18" x14ac:dyDescent="0.35">
      <c r="D69" s="8"/>
      <c r="R69" s="7"/>
    </row>
    <row r="70" spans="4:18" x14ac:dyDescent="0.35">
      <c r="D70" s="8"/>
      <c r="R70" s="7"/>
    </row>
    <row r="71" spans="4:18" x14ac:dyDescent="0.35">
      <c r="D71" s="8"/>
      <c r="R71" s="7"/>
    </row>
    <row r="72" spans="4:18" ht="18" thickBot="1" x14ac:dyDescent="0.55000000000000004">
      <c r="D72" s="6" t="s">
        <v>53</v>
      </c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4"/>
    </row>
    <row r="73" spans="4:18" ht="13.15" thickBot="1" x14ac:dyDescent="0.4"/>
    <row r="74" spans="4:18" x14ac:dyDescent="0.35">
      <c r="D74" s="11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9"/>
    </row>
    <row r="75" spans="4:18" x14ac:dyDescent="0.35">
      <c r="D75" s="8"/>
      <c r="R75" s="7"/>
    </row>
    <row r="76" spans="4:18" x14ac:dyDescent="0.35">
      <c r="D76" s="8"/>
      <c r="R76" s="7"/>
    </row>
    <row r="77" spans="4:18" x14ac:dyDescent="0.35">
      <c r="D77" s="8"/>
      <c r="R77" s="7"/>
    </row>
    <row r="78" spans="4:18" x14ac:dyDescent="0.35">
      <c r="D78" s="8"/>
      <c r="R78" s="7"/>
    </row>
    <row r="79" spans="4:18" x14ac:dyDescent="0.35">
      <c r="D79" s="8"/>
      <c r="R79" s="7"/>
    </row>
    <row r="80" spans="4:18" x14ac:dyDescent="0.35">
      <c r="D80" s="8"/>
      <c r="R80" s="7"/>
    </row>
    <row r="81" spans="4:18" x14ac:dyDescent="0.35">
      <c r="D81" s="8"/>
      <c r="R81" s="7"/>
    </row>
    <row r="82" spans="4:18" x14ac:dyDescent="0.35">
      <c r="D82" s="8"/>
      <c r="R82" s="7"/>
    </row>
    <row r="83" spans="4:18" x14ac:dyDescent="0.35">
      <c r="D83" s="8"/>
      <c r="R83" s="7"/>
    </row>
    <row r="84" spans="4:18" ht="13.15" thickBot="1" x14ac:dyDescent="0.4">
      <c r="D84" s="23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4"/>
    </row>
    <row r="118" spans="3:10" ht="13.15" thickBot="1" x14ac:dyDescent="0.4"/>
    <row r="119" spans="3:10" x14ac:dyDescent="0.35">
      <c r="C119" s="11"/>
      <c r="D119" s="10"/>
      <c r="E119" s="10"/>
      <c r="F119" s="10"/>
      <c r="G119" s="10"/>
      <c r="H119" s="10"/>
      <c r="I119" s="10"/>
      <c r="J119" s="9"/>
    </row>
    <row r="120" spans="3:10" x14ac:dyDescent="0.35">
      <c r="C120" s="8"/>
      <c r="D120" s="25"/>
      <c r="E120" s="25"/>
      <c r="F120" s="25"/>
      <c r="G120" s="25"/>
      <c r="H120" s="25"/>
      <c r="I120" s="25"/>
      <c r="J120" s="7"/>
    </row>
    <row r="121" spans="3:10" x14ac:dyDescent="0.35">
      <c r="C121" s="8"/>
      <c r="D121" s="25"/>
      <c r="E121" s="25"/>
      <c r="F121" s="25"/>
      <c r="G121" s="25"/>
      <c r="H121" s="25"/>
      <c r="I121" s="25"/>
      <c r="J121" s="7"/>
    </row>
    <row r="122" spans="3:10" x14ac:dyDescent="0.35">
      <c r="C122" s="8"/>
      <c r="D122" s="25"/>
      <c r="E122" s="25"/>
      <c r="F122" s="25"/>
      <c r="G122" s="25"/>
      <c r="H122" s="25"/>
      <c r="I122" s="25"/>
      <c r="J122" s="7"/>
    </row>
    <row r="123" spans="3:10" x14ac:dyDescent="0.35">
      <c r="C123" s="8"/>
      <c r="D123" s="25"/>
      <c r="E123" s="25"/>
      <c r="F123" s="25"/>
      <c r="G123" s="25"/>
      <c r="H123" s="25"/>
      <c r="I123" s="25"/>
      <c r="J123" s="7"/>
    </row>
    <row r="124" spans="3:10" x14ac:dyDescent="0.35">
      <c r="C124" s="8"/>
      <c r="D124" s="25"/>
      <c r="E124" s="25"/>
      <c r="F124" s="25"/>
      <c r="G124" s="25"/>
      <c r="H124" s="25"/>
      <c r="I124" s="25"/>
      <c r="J124" s="7"/>
    </row>
    <row r="125" spans="3:10" x14ac:dyDescent="0.35">
      <c r="C125" s="8"/>
      <c r="D125" s="25"/>
      <c r="E125" s="25"/>
      <c r="F125" s="25"/>
      <c r="G125" s="25"/>
      <c r="H125" s="25"/>
      <c r="I125" s="25"/>
      <c r="J125" s="7"/>
    </row>
    <row r="126" spans="3:10" x14ac:dyDescent="0.35">
      <c r="C126" s="8"/>
      <c r="D126" s="25"/>
      <c r="E126" s="25"/>
      <c r="F126" s="25"/>
      <c r="G126" s="25"/>
      <c r="H126" s="25"/>
      <c r="I126" s="25"/>
      <c r="J126" s="7"/>
    </row>
    <row r="127" spans="3:10" x14ac:dyDescent="0.35">
      <c r="C127" s="8"/>
      <c r="D127" s="25"/>
      <c r="E127" s="25"/>
      <c r="F127" s="25"/>
      <c r="G127" s="25"/>
      <c r="H127" s="25"/>
      <c r="I127" s="25"/>
      <c r="J127" s="7"/>
    </row>
    <row r="128" spans="3:10" ht="13.5" thickBot="1" x14ac:dyDescent="0.45">
      <c r="C128" s="26" t="s">
        <v>61</v>
      </c>
      <c r="D128" s="5"/>
      <c r="E128" s="5"/>
      <c r="F128" s="5"/>
      <c r="G128" s="5"/>
      <c r="H128" s="5"/>
      <c r="I128" s="5"/>
      <c r="J128" s="4"/>
    </row>
  </sheetData>
  <phoneticPr fontId="4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437D5-FB15-4599-A434-B31A3848883D}">
  <sheetPr codeName="Sheet4"/>
  <dimension ref="C30:R128"/>
  <sheetViews>
    <sheetView tabSelected="1" topLeftCell="A54" zoomScale="55" zoomScaleNormal="55" workbookViewId="0">
      <selection activeCell="W46" sqref="W46"/>
    </sheetView>
  </sheetViews>
  <sheetFormatPr defaultRowHeight="12.75" x14ac:dyDescent="0.35"/>
  <cols>
    <col min="1" max="4" width="9.06640625" style="3"/>
    <col min="5" max="5" width="9.06640625" style="3" customWidth="1"/>
    <col min="6" max="16384" width="9.06640625" style="3"/>
  </cols>
  <sheetData>
    <row r="30" spans="4:18" ht="13.15" thickBot="1" x14ac:dyDescent="0.4"/>
    <row r="31" spans="4:18" ht="13.15" x14ac:dyDescent="0.4">
      <c r="D31" s="22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0"/>
    </row>
    <row r="32" spans="4:18" ht="13.15" x14ac:dyDescent="0.4">
      <c r="D32" s="16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4"/>
    </row>
    <row r="33" spans="4:18" ht="13.15" x14ac:dyDescent="0.4"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4"/>
    </row>
    <row r="34" spans="4:18" ht="13.15" x14ac:dyDescent="0.4">
      <c r="D34" s="16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4"/>
    </row>
    <row r="35" spans="4:18" ht="13.15" x14ac:dyDescent="0.4">
      <c r="D35" s="16"/>
      <c r="F35" s="15"/>
      <c r="G35" s="15"/>
      <c r="H35" s="15"/>
      <c r="I35" s="15"/>
      <c r="J35" s="15"/>
      <c r="K35" s="15"/>
      <c r="L35" s="15"/>
      <c r="N35" s="15"/>
      <c r="O35" s="15"/>
      <c r="P35" s="15"/>
      <c r="Q35" s="15"/>
      <c r="R35" s="14"/>
    </row>
    <row r="36" spans="4:18" ht="13.15" x14ac:dyDescent="0.4">
      <c r="D36" s="16"/>
      <c r="E36" s="15"/>
      <c r="F36" s="15"/>
      <c r="G36" s="15"/>
      <c r="H36" s="19" t="s">
        <v>60</v>
      </c>
      <c r="I36" s="15"/>
      <c r="J36" s="15"/>
      <c r="K36" s="15"/>
      <c r="L36" s="15"/>
      <c r="M36" s="15"/>
      <c r="N36" s="15"/>
      <c r="O36" s="15"/>
      <c r="P36" s="15"/>
      <c r="Q36" s="15"/>
      <c r="R36" s="14"/>
    </row>
    <row r="37" spans="4:18" ht="13.15" x14ac:dyDescent="0.4">
      <c r="D37" s="16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4"/>
    </row>
    <row r="38" spans="4:18" ht="13.15" x14ac:dyDescent="0.4">
      <c r="D38" s="16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4"/>
    </row>
    <row r="39" spans="4:18" ht="13.15" x14ac:dyDescent="0.4"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4"/>
    </row>
    <row r="40" spans="4:18" ht="13.15" x14ac:dyDescent="0.4">
      <c r="D40" s="16"/>
      <c r="F40" s="15"/>
      <c r="G40" s="15"/>
      <c r="H40" s="19" t="s">
        <v>59</v>
      </c>
      <c r="I40" s="15"/>
      <c r="J40" s="15"/>
      <c r="K40" s="15"/>
      <c r="L40" s="15"/>
      <c r="M40" s="15"/>
      <c r="N40" s="15"/>
      <c r="O40" s="15"/>
      <c r="P40" s="15"/>
      <c r="Q40" s="15"/>
      <c r="R40" s="14"/>
    </row>
    <row r="41" spans="4:18" ht="13.15" x14ac:dyDescent="0.4"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4"/>
    </row>
    <row r="42" spans="4:18" ht="13.15" x14ac:dyDescent="0.4">
      <c r="D42" s="16"/>
      <c r="E42" s="18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4"/>
    </row>
    <row r="43" spans="4:18" ht="13.15" x14ac:dyDescent="0.4">
      <c r="D43" s="16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4"/>
    </row>
    <row r="44" spans="4:18" ht="13.15" x14ac:dyDescent="0.4">
      <c r="D44" s="16"/>
      <c r="E44" s="18" t="s">
        <v>58</v>
      </c>
      <c r="F44" s="15"/>
      <c r="G44" s="15"/>
      <c r="H44" s="19" t="s">
        <v>57</v>
      </c>
      <c r="I44" s="15"/>
      <c r="J44" s="15"/>
      <c r="K44" s="15"/>
      <c r="L44" s="15"/>
      <c r="M44" s="15"/>
      <c r="N44" s="15"/>
      <c r="O44" s="15"/>
      <c r="P44" s="15"/>
      <c r="Q44" s="15"/>
      <c r="R44" s="14"/>
    </row>
    <row r="45" spans="4:18" ht="13.15" x14ac:dyDescent="0.4">
      <c r="D45" s="16"/>
      <c r="E45" s="15"/>
      <c r="F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4"/>
    </row>
    <row r="46" spans="4:18" ht="13.15" x14ac:dyDescent="0.4">
      <c r="D46" s="16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4"/>
    </row>
    <row r="47" spans="4:18" ht="13.15" x14ac:dyDescent="0.4">
      <c r="D47" s="16"/>
      <c r="E47" s="18" t="s">
        <v>56</v>
      </c>
      <c r="F47" s="15"/>
      <c r="G47" s="15"/>
      <c r="H47" s="15"/>
      <c r="I47" s="15"/>
      <c r="J47" s="15"/>
      <c r="K47" s="15"/>
      <c r="L47" s="15"/>
      <c r="M47" s="15"/>
      <c r="N47" s="15"/>
      <c r="O47" s="17" t="s">
        <v>55</v>
      </c>
      <c r="P47" s="15"/>
      <c r="Q47" s="15"/>
      <c r="R47" s="14"/>
    </row>
    <row r="48" spans="4:18" ht="13.15" x14ac:dyDescent="0.4">
      <c r="D48" s="16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4"/>
    </row>
    <row r="49" spans="4:18" ht="13.15" x14ac:dyDescent="0.4">
      <c r="D49" s="16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4"/>
    </row>
    <row r="50" spans="4:18" ht="13.15" x14ac:dyDescent="0.4">
      <c r="D50" s="16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4"/>
    </row>
    <row r="51" spans="4:18" ht="18" thickBot="1" x14ac:dyDescent="0.55000000000000004">
      <c r="D51" s="6" t="s">
        <v>62</v>
      </c>
      <c r="E51" s="13"/>
      <c r="F51" s="13"/>
      <c r="G51" s="13"/>
      <c r="H51" s="13"/>
      <c r="I51" s="5"/>
      <c r="J51" s="13"/>
      <c r="K51" s="13"/>
      <c r="L51" s="13"/>
      <c r="M51" s="13"/>
      <c r="N51" s="13"/>
      <c r="O51" s="13"/>
      <c r="P51" s="13"/>
      <c r="Q51" s="13"/>
      <c r="R51" s="12"/>
    </row>
    <row r="56" spans="4:18" ht="13.15" thickBot="1" x14ac:dyDescent="0.4"/>
    <row r="57" spans="4:18" x14ac:dyDescent="0.35">
      <c r="D57" s="11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9"/>
    </row>
    <row r="58" spans="4:18" x14ac:dyDescent="0.35">
      <c r="D58" s="8"/>
      <c r="R58" s="7"/>
    </row>
    <row r="59" spans="4:18" x14ac:dyDescent="0.35">
      <c r="D59" s="8"/>
      <c r="R59" s="7"/>
    </row>
    <row r="60" spans="4:18" x14ac:dyDescent="0.35">
      <c r="D60" s="8"/>
      <c r="R60" s="7"/>
    </row>
    <row r="61" spans="4:18" x14ac:dyDescent="0.35">
      <c r="D61" s="8"/>
      <c r="R61" s="7"/>
    </row>
    <row r="62" spans="4:18" x14ac:dyDescent="0.35">
      <c r="D62" s="8"/>
      <c r="R62" s="7"/>
    </row>
    <row r="63" spans="4:18" x14ac:dyDescent="0.35">
      <c r="D63" s="8"/>
      <c r="R63" s="7"/>
    </row>
    <row r="64" spans="4:18" x14ac:dyDescent="0.35">
      <c r="D64" s="8"/>
      <c r="R64" s="7"/>
    </row>
    <row r="65" spans="4:18" x14ac:dyDescent="0.35">
      <c r="D65" s="8"/>
      <c r="R65" s="7"/>
    </row>
    <row r="66" spans="4:18" x14ac:dyDescent="0.35">
      <c r="D66" s="8"/>
      <c r="R66" s="7"/>
    </row>
    <row r="67" spans="4:18" x14ac:dyDescent="0.35">
      <c r="D67" s="8"/>
      <c r="R67" s="7"/>
    </row>
    <row r="68" spans="4:18" x14ac:dyDescent="0.35">
      <c r="D68" s="8"/>
      <c r="R68" s="7"/>
    </row>
    <row r="69" spans="4:18" x14ac:dyDescent="0.35">
      <c r="D69" s="8"/>
      <c r="R69" s="7"/>
    </row>
    <row r="70" spans="4:18" x14ac:dyDescent="0.35">
      <c r="D70" s="8"/>
      <c r="R70" s="7"/>
    </row>
    <row r="71" spans="4:18" x14ac:dyDescent="0.35">
      <c r="D71" s="8"/>
      <c r="R71" s="7"/>
    </row>
    <row r="72" spans="4:18" ht="18" thickBot="1" x14ac:dyDescent="0.55000000000000004">
      <c r="D72" s="6" t="s">
        <v>53</v>
      </c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4"/>
    </row>
    <row r="73" spans="4:18" ht="13.15" thickBot="1" x14ac:dyDescent="0.4"/>
    <row r="74" spans="4:18" x14ac:dyDescent="0.35">
      <c r="D74" s="11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9"/>
    </row>
    <row r="75" spans="4:18" x14ac:dyDescent="0.35">
      <c r="D75" s="8"/>
      <c r="R75" s="7"/>
    </row>
    <row r="76" spans="4:18" x14ac:dyDescent="0.35">
      <c r="D76" s="8"/>
      <c r="R76" s="7"/>
    </row>
    <row r="77" spans="4:18" x14ac:dyDescent="0.35">
      <c r="D77" s="8"/>
      <c r="R77" s="7"/>
    </row>
    <row r="78" spans="4:18" x14ac:dyDescent="0.35">
      <c r="D78" s="8"/>
      <c r="R78" s="7"/>
    </row>
    <row r="79" spans="4:18" x14ac:dyDescent="0.35">
      <c r="D79" s="8"/>
      <c r="R79" s="7"/>
    </row>
    <row r="80" spans="4:18" x14ac:dyDescent="0.35">
      <c r="D80" s="8"/>
      <c r="R80" s="7"/>
    </row>
    <row r="81" spans="4:18" x14ac:dyDescent="0.35">
      <c r="D81" s="8"/>
      <c r="R81" s="7"/>
    </row>
    <row r="82" spans="4:18" x14ac:dyDescent="0.35">
      <c r="D82" s="8"/>
      <c r="R82" s="7"/>
    </row>
    <row r="83" spans="4:18" x14ac:dyDescent="0.35">
      <c r="D83" s="8"/>
      <c r="R83" s="7"/>
    </row>
    <row r="84" spans="4:18" ht="13.15" thickBot="1" x14ac:dyDescent="0.4">
      <c r="D84" s="23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4"/>
    </row>
    <row r="118" spans="3:10" ht="13.15" thickBot="1" x14ac:dyDescent="0.4"/>
    <row r="119" spans="3:10" x14ac:dyDescent="0.35">
      <c r="C119" s="11"/>
      <c r="D119" s="10"/>
      <c r="E119" s="10"/>
      <c r="F119" s="10"/>
      <c r="G119" s="10"/>
      <c r="H119" s="10"/>
      <c r="I119" s="10"/>
      <c r="J119" s="9"/>
    </row>
    <row r="120" spans="3:10" x14ac:dyDescent="0.35">
      <c r="C120" s="8"/>
      <c r="D120" s="25"/>
      <c r="E120" s="25"/>
      <c r="F120" s="25"/>
      <c r="G120" s="25"/>
      <c r="H120" s="25"/>
      <c r="I120" s="25"/>
      <c r="J120" s="7"/>
    </row>
    <row r="121" spans="3:10" x14ac:dyDescent="0.35">
      <c r="C121" s="8"/>
      <c r="D121" s="25"/>
      <c r="E121" s="25"/>
      <c r="F121" s="25"/>
      <c r="G121" s="25"/>
      <c r="H121" s="25"/>
      <c r="I121" s="25"/>
      <c r="J121" s="7"/>
    </row>
    <row r="122" spans="3:10" x14ac:dyDescent="0.35">
      <c r="C122" s="8"/>
      <c r="D122" s="25"/>
      <c r="E122" s="25"/>
      <c r="F122" s="25"/>
      <c r="G122" s="25"/>
      <c r="H122" s="25"/>
      <c r="I122" s="25"/>
      <c r="J122" s="7"/>
    </row>
    <row r="123" spans="3:10" x14ac:dyDescent="0.35">
      <c r="C123" s="8"/>
      <c r="D123" s="25"/>
      <c r="E123" s="25"/>
      <c r="F123" s="25"/>
      <c r="G123" s="25"/>
      <c r="H123" s="25"/>
      <c r="I123" s="25"/>
      <c r="J123" s="7"/>
    </row>
    <row r="124" spans="3:10" x14ac:dyDescent="0.35">
      <c r="C124" s="8"/>
      <c r="D124" s="25"/>
      <c r="E124" s="25"/>
      <c r="F124" s="25"/>
      <c r="G124" s="25"/>
      <c r="H124" s="25"/>
      <c r="I124" s="25"/>
      <c r="J124" s="7"/>
    </row>
    <row r="125" spans="3:10" x14ac:dyDescent="0.35">
      <c r="C125" s="8"/>
      <c r="D125" s="25"/>
      <c r="E125" s="25"/>
      <c r="F125" s="25"/>
      <c r="G125" s="25"/>
      <c r="H125" s="25"/>
      <c r="I125" s="25"/>
      <c r="J125" s="7"/>
    </row>
    <row r="126" spans="3:10" x14ac:dyDescent="0.35">
      <c r="C126" s="8"/>
      <c r="D126" s="25"/>
      <c r="E126" s="25"/>
      <c r="F126" s="25"/>
      <c r="G126" s="25"/>
      <c r="H126" s="25"/>
      <c r="I126" s="25"/>
      <c r="J126" s="7"/>
    </row>
    <row r="127" spans="3:10" x14ac:dyDescent="0.35">
      <c r="C127" s="8"/>
      <c r="D127" s="25"/>
      <c r="E127" s="25"/>
      <c r="F127" s="25"/>
      <c r="G127" s="25"/>
      <c r="H127" s="25"/>
      <c r="I127" s="25"/>
      <c r="J127" s="7"/>
    </row>
    <row r="128" spans="3:10" ht="13.5" thickBot="1" x14ac:dyDescent="0.45">
      <c r="C128" s="26" t="s">
        <v>61</v>
      </c>
      <c r="D128" s="5"/>
      <c r="E128" s="5"/>
      <c r="F128" s="5"/>
      <c r="G128" s="5"/>
      <c r="H128" s="5"/>
      <c r="I128" s="5"/>
      <c r="J128" s="4"/>
    </row>
  </sheetData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Sheet2 (2)</vt:lpstr>
    </vt:vector>
  </TitlesOfParts>
  <Company>Execuplan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Green</dc:creator>
  <cp:lastModifiedBy>juxian he</cp:lastModifiedBy>
  <dcterms:created xsi:type="dcterms:W3CDTF">2004-02-24T23:23:08Z</dcterms:created>
  <dcterms:modified xsi:type="dcterms:W3CDTF">2023-02-15T12:43:22Z</dcterms:modified>
</cp:coreProperties>
</file>